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 Lopes\Documents\Juan Noe - 2023\Finanzas de la Iglesia\FINANZAS - 2025\"/>
    </mc:Choice>
  </mc:AlternateContent>
  <xr:revisionPtr revIDLastSave="0" documentId="13_ncr:1_{52785C49-464D-410B-88F0-419EEBB6468A}" xr6:coauthVersionLast="47" xr6:coauthVersionMax="47" xr10:uidLastSave="{00000000-0000-0000-0000-000000000000}"/>
  <bookViews>
    <workbookView xWindow="-120" yWindow="-120" windowWidth="20730" windowHeight="11040" activeTab="1" xr2:uid="{560047B0-DC08-4231-A6CD-D3AAED832486}"/>
  </bookViews>
  <sheets>
    <sheet name="INF. DISTRITAL" sheetId="1" r:id="rId1"/>
    <sheet name="IGLESIA" sheetId="2" r:id="rId2"/>
    <sheet name="DEPOSITOS" sheetId="4" r:id="rId3"/>
    <sheet name="DESGLOSE SALDOS" sheetId="5" r:id="rId4"/>
    <sheet name="Hoja6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D15" i="1"/>
  <c r="C42" i="6"/>
  <c r="D42" i="6"/>
  <c r="E42" i="6"/>
  <c r="F42" i="6"/>
  <c r="G42" i="6"/>
  <c r="H42" i="6"/>
  <c r="I42" i="6"/>
  <c r="J42" i="6"/>
  <c r="K42" i="6"/>
  <c r="B42" i="6"/>
  <c r="H8" i="2"/>
  <c r="H7" i="2"/>
  <c r="H6" i="2"/>
  <c r="J9" i="2" s="1"/>
  <c r="J4" i="2"/>
  <c r="H44" i="1"/>
  <c r="D46" i="1"/>
  <c r="C20" i="6"/>
  <c r="D20" i="6"/>
  <c r="E20" i="6"/>
  <c r="F20" i="6"/>
  <c r="G20" i="6"/>
  <c r="H20" i="6"/>
  <c r="I20" i="6"/>
  <c r="B20" i="6"/>
  <c r="C9" i="6"/>
  <c r="D9" i="6"/>
  <c r="E9" i="6"/>
  <c r="F9" i="6"/>
  <c r="G9" i="6"/>
  <c r="H9" i="6"/>
  <c r="I9" i="6"/>
  <c r="B9" i="6"/>
  <c r="G7" i="5"/>
  <c r="D9" i="1"/>
  <c r="C48" i="1" s="1"/>
  <c r="G14" i="5"/>
  <c r="G15" i="5"/>
  <c r="G16" i="5"/>
  <c r="G17" i="5"/>
  <c r="G18" i="5"/>
  <c r="G19" i="5"/>
  <c r="G20" i="5"/>
  <c r="G13" i="5"/>
  <c r="H23" i="4"/>
  <c r="H21" i="4"/>
  <c r="H20" i="4"/>
  <c r="I45" i="1"/>
  <c r="I36" i="1"/>
  <c r="D34" i="1"/>
  <c r="D31" i="1"/>
  <c r="I31" i="1"/>
  <c r="I26" i="1"/>
  <c r="H5" i="1"/>
  <c r="H31" i="2" l="1"/>
  <c r="H33" i="2"/>
  <c r="H32" i="2"/>
  <c r="H49" i="1"/>
  <c r="H50" i="1"/>
  <c r="G21" i="5"/>
  <c r="H51" i="1"/>
  <c r="H8" i="1"/>
  <c r="H13" i="4" s="1"/>
  <c r="J10" i="2"/>
  <c r="J39" i="2" s="1"/>
  <c r="H47" i="1" l="1"/>
  <c r="G10" i="5"/>
  <c r="J28" i="2"/>
  <c r="H6" i="1" s="1"/>
  <c r="J11" i="2"/>
  <c r="J40" i="2" s="1"/>
  <c r="H48" i="1" s="1"/>
  <c r="H9" i="1"/>
  <c r="H14" i="4" s="1"/>
  <c r="C17" i="1"/>
  <c r="C23" i="1"/>
  <c r="H7" i="1"/>
  <c r="C22" i="1"/>
  <c r="I52" i="1" l="1"/>
  <c r="D28" i="1"/>
  <c r="I15" i="1"/>
  <c r="I46" i="1" s="1"/>
  <c r="C51" i="1" s="1"/>
  <c r="H7" i="4"/>
  <c r="H29" i="4" s="1"/>
  <c r="D47" i="1" l="1"/>
  <c r="C49" i="1" s="1"/>
  <c r="C50" i="1" s="1"/>
  <c r="D52" i="1" s="1"/>
</calcChain>
</file>

<file path=xl/sharedStrings.xml><?xml version="1.0" encoding="utf-8"?>
<sst xmlns="http://schemas.openxmlformats.org/spreadsheetml/2006/main" count="360" uniqueCount="220">
  <si>
    <t>DINERO EGRESADO:</t>
  </si>
  <si>
    <t>OTROS MINISTERIOS</t>
  </si>
  <si>
    <t>POR  IGLESIA  LOCAL:</t>
  </si>
  <si>
    <t>IGLESIA</t>
  </si>
  <si>
    <t>S.</t>
  </si>
  <si>
    <t xml:space="preserve">SOSTEN PASTORAL </t>
  </si>
  <si>
    <t>VARIOS IGLESIA LOCAL</t>
  </si>
  <si>
    <t>J.N.I.</t>
  </si>
  <si>
    <t>PRES. DISTRITAL 10%</t>
  </si>
  <si>
    <t>M.N.I.</t>
  </si>
  <si>
    <t>PRES. EDUCACIONAL 3%</t>
  </si>
  <si>
    <t>Total Saldo mes Pasado</t>
  </si>
  <si>
    <t>PRES. EVANGELISMO 2%</t>
  </si>
  <si>
    <t>POR IGLESIA LOCAL:</t>
  </si>
  <si>
    <t xml:space="preserve">CENTRO DE MINISTERIOS </t>
  </si>
  <si>
    <t>OFRENDAS</t>
  </si>
  <si>
    <t xml:space="preserve">JUBILACION </t>
  </si>
  <si>
    <t>DIEZMOS</t>
  </si>
  <si>
    <t>COCE</t>
  </si>
  <si>
    <t xml:space="preserve">ESPECIALES </t>
  </si>
  <si>
    <t xml:space="preserve">FONDO ASM. GENERAL </t>
  </si>
  <si>
    <t>FONDO DE CONTINGENCIA</t>
  </si>
  <si>
    <t xml:space="preserve">Total entradas iglesia </t>
  </si>
  <si>
    <t xml:space="preserve">Total gastos iglesia </t>
  </si>
  <si>
    <t>POR OTROS MINISTERIOS:</t>
  </si>
  <si>
    <t xml:space="preserve">Total Gastos otros ministerios </t>
  </si>
  <si>
    <t>COMPASIÓN</t>
  </si>
  <si>
    <t>MAM</t>
  </si>
  <si>
    <t>ADULTO MAYOR</t>
  </si>
  <si>
    <t>PROYECTO</t>
  </si>
  <si>
    <t>ORACIÓN</t>
  </si>
  <si>
    <t>ORACION</t>
  </si>
  <si>
    <t>PROYECTOS</t>
  </si>
  <si>
    <t>ALABANZA</t>
  </si>
  <si>
    <t>EVANGELISMO</t>
  </si>
  <si>
    <t>AHORRO</t>
  </si>
  <si>
    <t>17.</t>
  </si>
  <si>
    <t xml:space="preserve">Total otros minsiterios </t>
  </si>
  <si>
    <t xml:space="preserve">Total otros ministerios </t>
  </si>
  <si>
    <t xml:space="preserve">GASTOS LOCALES </t>
  </si>
  <si>
    <t xml:space="preserve">CUOTA DISTRITAL </t>
  </si>
  <si>
    <t>POR  J.N.I. :</t>
  </si>
  <si>
    <t xml:space="preserve">POR J.N.I.  </t>
  </si>
  <si>
    <t>Total Entradas  J.N.I.</t>
  </si>
  <si>
    <t>POR  M.N.I. :</t>
  </si>
  <si>
    <t>Total Gastos de J.N.I.</t>
  </si>
  <si>
    <t>ORACION Y AYUNO</t>
  </si>
  <si>
    <t>RESURRECCION</t>
  </si>
  <si>
    <t>ACCION DE GRACIAS</t>
  </si>
  <si>
    <t>CAJA DE ALABASTRO</t>
  </si>
  <si>
    <t xml:space="preserve">TMM RADIO </t>
  </si>
  <si>
    <t>PLAN MEDICO</t>
  </si>
  <si>
    <t>SEMINARIOS</t>
  </si>
  <si>
    <t xml:space="preserve">FEM </t>
  </si>
  <si>
    <t>FEM</t>
  </si>
  <si>
    <t xml:space="preserve">ESPECIAL </t>
  </si>
  <si>
    <t>Total Gastos de M.N.I.</t>
  </si>
  <si>
    <t>Total Entradas de M.N.I.</t>
  </si>
  <si>
    <t>TOTAL GASTOS DEL MES</t>
  </si>
  <si>
    <t>TOTAL ENTRADAS DEL MES</t>
  </si>
  <si>
    <t xml:space="preserve">Otros ministerios </t>
  </si>
  <si>
    <t>Saldo mes Pasado</t>
  </si>
  <si>
    <t>Iglesia</t>
  </si>
  <si>
    <t>Total Ingresos del mes</t>
  </si>
  <si>
    <t>Total Ingr. Y Saldo</t>
  </si>
  <si>
    <t>Total Gastos del mes</t>
  </si>
  <si>
    <t>SALDO FIN DEL MES</t>
  </si>
  <si>
    <t>TOTAL DE SALDO EN CAJA:</t>
  </si>
  <si>
    <t>INFORME MENSUAL DE LA TESORERIA IGLESIA DEL NAZARENO "JUAN NOE" ARICA</t>
  </si>
  <si>
    <t xml:space="preserve">FECHA INCLUIDA: </t>
  </si>
  <si>
    <t xml:space="preserve">SALDO </t>
  </si>
  <si>
    <t xml:space="preserve">IGLESIA </t>
  </si>
  <si>
    <t>$</t>
  </si>
  <si>
    <t xml:space="preserve">ENTRADAS IGLESIA </t>
  </si>
  <si>
    <t xml:space="preserve">TOTAL ENTRADA IGLESIA </t>
  </si>
  <si>
    <t xml:space="preserve">SUMA SALDO Y ENTRADA IGLESIA </t>
  </si>
  <si>
    <t xml:space="preserve">EGRESOS IGLESIA </t>
  </si>
  <si>
    <t xml:space="preserve">sueldo pastoral </t>
  </si>
  <si>
    <t>AFP</t>
  </si>
  <si>
    <t xml:space="preserve">BONO </t>
  </si>
  <si>
    <t xml:space="preserve">MES POR AÑO </t>
  </si>
  <si>
    <t>ZOOM</t>
  </si>
  <si>
    <t>LUZ</t>
  </si>
  <si>
    <t>TELEFONO</t>
  </si>
  <si>
    <t xml:space="preserve">AGUA </t>
  </si>
  <si>
    <t>asamblea</t>
  </si>
  <si>
    <t xml:space="preserve">2%COMPASION </t>
  </si>
  <si>
    <t>2%EVANGELISMO</t>
  </si>
  <si>
    <t xml:space="preserve">4%AHORRO </t>
  </si>
  <si>
    <t>prs. Distrital 10%</t>
  </si>
  <si>
    <t>prs. Educacional 3%</t>
  </si>
  <si>
    <t>prs. Evangelismo 2%</t>
  </si>
  <si>
    <t xml:space="preserve">centro de ministerios </t>
  </si>
  <si>
    <t xml:space="preserve">jubilacion </t>
  </si>
  <si>
    <t xml:space="preserve">campamento coce </t>
  </si>
  <si>
    <t xml:space="preserve">fondo asamblea general </t>
  </si>
  <si>
    <t xml:space="preserve">fondo contingencia </t>
  </si>
  <si>
    <t xml:space="preserve">EGRESO TOTAL IGLESIA </t>
  </si>
  <si>
    <t>IGLESIA DEL NAZARENO-DISTRITO NORTE CHILE</t>
  </si>
  <si>
    <t>COMPROBANTE PARA DEPOSITOS DISTRITALES</t>
  </si>
  <si>
    <t xml:space="preserve">CORRESPONDIENTE DEL MES: </t>
  </si>
  <si>
    <t>A1</t>
  </si>
  <si>
    <t>ADMINISTRACION DISTRITAL (10% diezmos y ofrendas)</t>
  </si>
  <si>
    <t>C2</t>
  </si>
  <si>
    <t>MINISTERIO ESCUELA DOMINICAL (Cuota $ 2.750)</t>
  </si>
  <si>
    <t>C3</t>
  </si>
  <si>
    <t>JUVENTUD NAZARENA INTERNACIONAL (Cuota $ 2.750)</t>
  </si>
  <si>
    <t>C4</t>
  </si>
  <si>
    <t>MISIONES NAZARENAS INTERNACIONAL (Cuota $ 2.750)</t>
  </si>
  <si>
    <t>C5</t>
  </si>
  <si>
    <t>COMITÉ ORGANIZADOR DE CAMP.Y ENCUENTROS</t>
  </si>
  <si>
    <t>(Cuota $ 200, IGLESIA, MED, JNI, MNI: TOTAL $ 800)</t>
  </si>
  <si>
    <t>C6</t>
  </si>
  <si>
    <t>EDUCACION TEOLOGICA (3% Diezmos y Ofrendas)</t>
  </si>
  <si>
    <t>C7</t>
  </si>
  <si>
    <t>EVANGELISMO (2% Diezmos y Ofrendas)</t>
  </si>
  <si>
    <t>C8</t>
  </si>
  <si>
    <t>PARA CENTRO DE MINISTERIOS Y DISTRITAL (Según cuota)</t>
  </si>
  <si>
    <t>C9</t>
  </si>
  <si>
    <t>FONDO VIAJE ASAMBLEA 2021 PARA LAICO ($ 5.000)</t>
  </si>
  <si>
    <t>Fondos Para la Evangelizacion Mundial (Presupuesto General)</t>
  </si>
  <si>
    <t>D1</t>
  </si>
  <si>
    <t>OFRENDA DE EVANGELISMO (Sobre mensual FEM)</t>
  </si>
  <si>
    <t>Otras Ofrendas Misioneras</t>
  </si>
  <si>
    <t>D2</t>
  </si>
  <si>
    <t>CAJA ALABASTRO</t>
  </si>
  <si>
    <t>D3</t>
  </si>
  <si>
    <t>TRASMISIONES DE MISION MUNDIAL "TMM"</t>
  </si>
  <si>
    <t>D4</t>
  </si>
  <si>
    <t>OTRA</t>
  </si>
  <si>
    <t>H7</t>
  </si>
  <si>
    <t>JUBILACION PASTORAL ($4000)</t>
  </si>
  <si>
    <t>H8</t>
  </si>
  <si>
    <t>PARA CONTINGENCIAS (EMERGENCIA) ($3.000)</t>
  </si>
  <si>
    <t>TOTAL</t>
  </si>
  <si>
    <t>DEPOSITAR EN CUENTA CORRIENTE N° 105-09198-07 EN EL BANCO DE CHILE ARICA A</t>
  </si>
  <si>
    <t>NOMBRE DE: IGLESIA DEL NAZARENO EVANGELICA DE CHILE</t>
  </si>
  <si>
    <t>ENVIAR COPIA DE ESTE COMPROBANTE JUNTO A COPIA DE DEPOSITO E INFORME</t>
  </si>
  <si>
    <t>MENSUAL DE LA TESORERIA DE LA IGLESIA, A LA TESORERA (o entregar a la persona</t>
  </si>
  <si>
    <t>encargada).</t>
  </si>
  <si>
    <t>GLORIA MORALES ZEGARRA</t>
  </si>
  <si>
    <t>Mail: gloria_046@hotmail.com</t>
  </si>
  <si>
    <t>Celular 09-1419938</t>
  </si>
  <si>
    <t>NOMBRE DEL DEPOSITANTE:</t>
  </si>
  <si>
    <t>NOTA: El informe Mensual de TESORERIA debe ser enviado al Superintendente de Distrito, JUNTO AL INFORME</t>
  </si>
  <si>
    <t>MENSUAL DEL PASTOR.</t>
  </si>
  <si>
    <t>COLOCAR AQUÍ COPIA DEL RECIBO DE DEPÓSITO</t>
  </si>
  <si>
    <t>NUMERO DEPÓSITO</t>
  </si>
  <si>
    <t xml:space="preserve">                     TESORERIA DISTRITAL</t>
  </si>
  <si>
    <t xml:space="preserve">INFORME MENSUAL DE LA TESORERIA </t>
  </si>
  <si>
    <t>IGLESIA DEL NAZARENO "JUAN NOE"</t>
  </si>
  <si>
    <t>ARICA</t>
  </si>
  <si>
    <t>Alabanza</t>
  </si>
  <si>
    <t>Evangelismo</t>
  </si>
  <si>
    <t xml:space="preserve">ahorro iglesia </t>
  </si>
  <si>
    <t xml:space="preserve">adulto mayor </t>
  </si>
  <si>
    <t xml:space="preserve">ingresos </t>
  </si>
  <si>
    <t xml:space="preserve">ofr. Iglesia </t>
  </si>
  <si>
    <t xml:space="preserve">especial Igl. </t>
  </si>
  <si>
    <t xml:space="preserve">diezmo </t>
  </si>
  <si>
    <t>D.N.I.</t>
  </si>
  <si>
    <t xml:space="preserve">JNI </t>
  </si>
  <si>
    <t xml:space="preserve">MNI </t>
  </si>
  <si>
    <t xml:space="preserve">ENFASIS </t>
  </si>
  <si>
    <t>semana 1</t>
  </si>
  <si>
    <t>semana 2</t>
  </si>
  <si>
    <t>semana 3</t>
  </si>
  <si>
    <t xml:space="preserve">semana 4 </t>
  </si>
  <si>
    <t xml:space="preserve">semana 5 </t>
  </si>
  <si>
    <t xml:space="preserve">deposito </t>
  </si>
  <si>
    <t>COMPASION</t>
  </si>
  <si>
    <t>AD. MAYOR</t>
  </si>
  <si>
    <t>COMUNIC.</t>
  </si>
  <si>
    <t>EVANG.</t>
  </si>
  <si>
    <t xml:space="preserve">semana5 </t>
  </si>
  <si>
    <t>deposito</t>
  </si>
  <si>
    <t xml:space="preserve">TOTAL </t>
  </si>
  <si>
    <t xml:space="preserve">egresos </t>
  </si>
  <si>
    <t xml:space="preserve">iglesia </t>
  </si>
  <si>
    <t>jni</t>
  </si>
  <si>
    <t>MIEDD</t>
  </si>
  <si>
    <t>MNI</t>
  </si>
  <si>
    <t>EVANGE</t>
  </si>
  <si>
    <t>NAZA KIDD</t>
  </si>
  <si>
    <t>SALDO ACTUAL</t>
  </si>
  <si>
    <t>SALDO ANTERIOR</t>
  </si>
  <si>
    <t>INGRESOS</t>
  </si>
  <si>
    <t>EGRESOS</t>
  </si>
  <si>
    <t xml:space="preserve">SALDO ANTERIOR  </t>
  </si>
  <si>
    <t>POR  D.N.I. :</t>
  </si>
  <si>
    <t>Total Gastos del  D.N.I.</t>
  </si>
  <si>
    <t>Total Entradas D.N.I.</t>
  </si>
  <si>
    <t>Fijo</t>
  </si>
  <si>
    <t>SALDO EN CAJA IGLESIA MES DE</t>
  </si>
  <si>
    <t>mes</t>
  </si>
  <si>
    <t xml:space="preserve">FECHA INCLUIDA  </t>
  </si>
  <si>
    <t>SALDOS AL  01 de</t>
  </si>
  <si>
    <t xml:space="preserve">SALDO   OTROS   MINISTERIOS </t>
  </si>
  <si>
    <t xml:space="preserve">INFORME DE FINANZAS IGLESIA DEL NAZARENO  "JUAN NOE" </t>
  </si>
  <si>
    <t xml:space="preserve">                                       DISTRITO NORTE DE CHILE</t>
  </si>
  <si>
    <t xml:space="preserve">SALDO TOTAL </t>
  </si>
  <si>
    <t>Mes por año en cuotas mensuales</t>
  </si>
  <si>
    <t>BEATRIZ RIQUELME</t>
  </si>
  <si>
    <t>Beatriz Riquelme</t>
  </si>
  <si>
    <t>NazArtes</t>
  </si>
  <si>
    <t>OCTUBRE</t>
  </si>
  <si>
    <t>SEPTIEMBRE</t>
  </si>
  <si>
    <t>NAZAKIDS</t>
  </si>
  <si>
    <t>SALDO MES PASADO:SEPTIEMBRE</t>
  </si>
  <si>
    <t>2 Mesa Peglables</t>
  </si>
  <si>
    <t>Internet</t>
  </si>
  <si>
    <t>Zoom</t>
  </si>
  <si>
    <t>Celular</t>
  </si>
  <si>
    <t>alabanza</t>
  </si>
  <si>
    <t>Thermo Baño</t>
  </si>
  <si>
    <t>ofrenda amor</t>
  </si>
  <si>
    <t>50.000 para los hermanos feria</t>
  </si>
  <si>
    <t>20.000 cajas organizadora</t>
  </si>
  <si>
    <t xml:space="preserve">Thermo eletrico - 189.970 </t>
  </si>
  <si>
    <t>dividido en 2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</si>
</sst>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1" formatCode="_ * #,##0_ ;_ * \-#,##0_ ;_ * &quot;-&quot;_ ;_ @_ 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3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u/>
      <sz val="11"/>
      <color rgb="FF000000"/>
      <name val="Arial"/>
      <family val="2"/>
    </font>
    <font>
      <b/>
      <u/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6.5"/>
      <color rgb="FF000000"/>
      <name val="Times New Roman"/>
      <family val="1"/>
    </font>
    <font>
      <b/>
      <sz val="17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2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8" fillId="0" borderId="2" xfId="0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2" xfId="0" applyFont="1" applyBorder="1"/>
    <xf numFmtId="0" fontId="8" fillId="0" borderId="9" xfId="0" applyFont="1" applyBorder="1"/>
    <xf numFmtId="6" fontId="8" fillId="0" borderId="13" xfId="0" applyNumberFormat="1" applyFont="1" applyBorder="1"/>
    <xf numFmtId="0" fontId="8" fillId="0" borderId="14" xfId="0" applyFont="1" applyBorder="1"/>
    <xf numFmtId="0" fontId="8" fillId="0" borderId="8" xfId="0" applyFont="1" applyBorder="1" applyAlignment="1">
      <alignment horizontal="center"/>
    </xf>
    <xf numFmtId="0" fontId="8" fillId="0" borderId="13" xfId="0" applyFont="1" applyBorder="1"/>
    <xf numFmtId="0" fontId="10" fillId="0" borderId="0" xfId="0" applyFont="1"/>
    <xf numFmtId="6" fontId="8" fillId="0" borderId="17" xfId="0" applyNumberFormat="1" applyFont="1" applyBorder="1"/>
    <xf numFmtId="0" fontId="8" fillId="0" borderId="18" xfId="0" applyFont="1" applyBorder="1"/>
    <xf numFmtId="0" fontId="9" fillId="0" borderId="0" xfId="0" applyFont="1"/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8" fillId="0" borderId="26" xfId="0" applyFont="1" applyBorder="1"/>
    <xf numFmtId="0" fontId="8" fillId="0" borderId="7" xfId="0" applyFont="1" applyBorder="1" applyAlignment="1">
      <alignment horizontal="center"/>
    </xf>
    <xf numFmtId="0" fontId="8" fillId="0" borderId="29" xfId="0" applyFont="1" applyBorder="1"/>
    <xf numFmtId="0" fontId="8" fillId="0" borderId="32" xfId="0" applyFont="1" applyBorder="1" applyAlignment="1">
      <alignment horizontal="center"/>
    </xf>
    <xf numFmtId="0" fontId="8" fillId="0" borderId="7" xfId="0" applyFont="1" applyBorder="1"/>
    <xf numFmtId="0" fontId="7" fillId="0" borderId="32" xfId="0" applyFont="1" applyBorder="1" applyAlignment="1">
      <alignment horizontal="center"/>
    </xf>
    <xf numFmtId="0" fontId="7" fillId="0" borderId="32" xfId="0" applyFont="1" applyBorder="1"/>
    <xf numFmtId="0" fontId="7" fillId="0" borderId="18" xfId="0" applyFont="1" applyBorder="1"/>
    <xf numFmtId="0" fontId="7" fillId="0" borderId="20" xfId="0" applyFont="1" applyBorder="1"/>
    <xf numFmtId="0" fontId="9" fillId="0" borderId="34" xfId="0" applyFont="1" applyBorder="1"/>
    <xf numFmtId="0" fontId="9" fillId="0" borderId="36" xfId="0" applyFont="1" applyBorder="1"/>
    <xf numFmtId="0" fontId="7" fillId="0" borderId="38" xfId="0" applyFont="1" applyBorder="1"/>
    <xf numFmtId="0" fontId="8" fillId="0" borderId="41" xfId="0" applyFont="1" applyBorder="1"/>
    <xf numFmtId="0" fontId="6" fillId="0" borderId="43" xfId="0" applyFont="1" applyBorder="1"/>
    <xf numFmtId="0" fontId="11" fillId="0" borderId="44" xfId="0" applyFont="1" applyBorder="1"/>
    <xf numFmtId="0" fontId="7" fillId="0" borderId="45" xfId="0" applyFont="1" applyBorder="1"/>
    <xf numFmtId="0" fontId="8" fillId="0" borderId="34" xfId="0" applyFont="1" applyBorder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31" xfId="0" applyFont="1" applyBorder="1"/>
    <xf numFmtId="0" fontId="8" fillId="0" borderId="47" xfId="0" applyFont="1" applyBorder="1"/>
    <xf numFmtId="0" fontId="8" fillId="0" borderId="48" xfId="0" applyFont="1" applyBorder="1"/>
    <xf numFmtId="0" fontId="16" fillId="0" borderId="0" xfId="0" applyFont="1"/>
    <xf numFmtId="0" fontId="15" fillId="0" borderId="0" xfId="0" applyFont="1"/>
    <xf numFmtId="0" fontId="15" fillId="0" borderId="58" xfId="0" applyFont="1" applyBorder="1" applyAlignment="1">
      <alignment horizontal="right"/>
    </xf>
    <xf numFmtId="0" fontId="15" fillId="0" borderId="59" xfId="0" applyFont="1" applyBorder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7" fillId="0" borderId="2" xfId="0" applyFont="1" applyBorder="1" applyAlignment="1">
      <alignment horizontal="right"/>
    </xf>
    <xf numFmtId="0" fontId="4" fillId="0" borderId="6" xfId="0" applyFont="1" applyBorder="1"/>
    <xf numFmtId="0" fontId="17" fillId="0" borderId="21" xfId="0" applyFont="1" applyBorder="1"/>
    <xf numFmtId="0" fontId="17" fillId="0" borderId="0" xfId="0" applyFont="1" applyAlignment="1">
      <alignment horizontal="right"/>
    </xf>
    <xf numFmtId="0" fontId="17" fillId="0" borderId="6" xfId="0" applyFont="1" applyBorder="1"/>
    <xf numFmtId="0" fontId="4" fillId="0" borderId="19" xfId="0" applyFont="1" applyBorder="1"/>
    <xf numFmtId="0" fontId="8" fillId="0" borderId="11" xfId="0" applyFont="1" applyBorder="1"/>
    <xf numFmtId="0" fontId="17" fillId="0" borderId="11" xfId="0" applyFont="1" applyBorder="1"/>
    <xf numFmtId="0" fontId="4" fillId="0" borderId="11" xfId="0" applyFont="1" applyBorder="1" applyAlignment="1">
      <alignment horizontal="right"/>
    </xf>
    <xf numFmtId="0" fontId="4" fillId="0" borderId="10" xfId="0" applyFont="1" applyBorder="1"/>
    <xf numFmtId="0" fontId="4" fillId="0" borderId="21" xfId="0" applyFont="1" applyBorder="1"/>
    <xf numFmtId="0" fontId="4" fillId="0" borderId="0" xfId="0" applyFont="1" applyAlignment="1">
      <alignment horizontal="right"/>
    </xf>
    <xf numFmtId="0" fontId="4" fillId="0" borderId="22" xfId="0" applyFont="1" applyBorder="1"/>
    <xf numFmtId="0" fontId="4" fillId="0" borderId="7" xfId="0" applyFont="1" applyBorder="1"/>
    <xf numFmtId="0" fontId="8" fillId="0" borderId="8" xfId="0" applyFont="1" applyBorder="1"/>
    <xf numFmtId="0" fontId="4" fillId="0" borderId="8" xfId="0" applyFont="1" applyBorder="1"/>
    <xf numFmtId="0" fontId="17" fillId="0" borderId="8" xfId="0" applyFont="1" applyBorder="1"/>
    <xf numFmtId="0" fontId="4" fillId="0" borderId="8" xfId="0" applyFont="1" applyBorder="1" applyAlignment="1">
      <alignment horizontal="right"/>
    </xf>
    <xf numFmtId="0" fontId="4" fillId="0" borderId="14" xfId="0" applyFont="1" applyBorder="1"/>
    <xf numFmtId="0" fontId="17" fillId="0" borderId="57" xfId="0" applyFont="1" applyBorder="1"/>
    <xf numFmtId="0" fontId="17" fillId="0" borderId="58" xfId="0" applyFont="1" applyBorder="1"/>
    <xf numFmtId="0" fontId="4" fillId="0" borderId="58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/>
    <xf numFmtId="0" fontId="8" fillId="0" borderId="60" xfId="0" applyFont="1" applyBorder="1"/>
    <xf numFmtId="3" fontId="8" fillId="0" borderId="60" xfId="0" applyNumberFormat="1" applyFont="1" applyBorder="1"/>
    <xf numFmtId="0" fontId="4" fillId="0" borderId="61" xfId="0" applyFont="1" applyBorder="1"/>
    <xf numFmtId="0" fontId="18" fillId="0" borderId="11" xfId="0" applyFont="1" applyBorder="1"/>
    <xf numFmtId="0" fontId="4" fillId="0" borderId="18" xfId="0" applyFont="1" applyBorder="1"/>
    <xf numFmtId="0" fontId="19" fillId="0" borderId="60" xfId="0" applyFont="1" applyBorder="1"/>
    <xf numFmtId="0" fontId="4" fillId="0" borderId="62" xfId="0" applyFont="1" applyBorder="1"/>
    <xf numFmtId="0" fontId="4" fillId="0" borderId="63" xfId="0" applyFont="1" applyBorder="1"/>
    <xf numFmtId="6" fontId="8" fillId="0" borderId="0" xfId="0" applyNumberFormat="1" applyFont="1"/>
    <xf numFmtId="0" fontId="4" fillId="0" borderId="20" xfId="0" applyFont="1" applyBorder="1"/>
    <xf numFmtId="0" fontId="8" fillId="0" borderId="32" xfId="0" applyFont="1" applyBorder="1"/>
    <xf numFmtId="0" fontId="17" fillId="0" borderId="32" xfId="0" applyFont="1" applyBorder="1"/>
    <xf numFmtId="0" fontId="4" fillId="0" borderId="32" xfId="0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3" fontId="17" fillId="0" borderId="6" xfId="0" applyNumberFormat="1" applyFont="1" applyBorder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/>
    <xf numFmtId="0" fontId="16" fillId="0" borderId="0" xfId="0" applyFont="1" applyAlignment="1">
      <alignment horizontal="right"/>
    </xf>
    <xf numFmtId="0" fontId="4" fillId="0" borderId="16" xfId="0" applyFont="1" applyBorder="1"/>
    <xf numFmtId="0" fontId="4" fillId="0" borderId="2" xfId="0" applyFont="1" applyBorder="1"/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6" fillId="0" borderId="67" xfId="0" applyFont="1" applyBorder="1"/>
    <xf numFmtId="0" fontId="26" fillId="0" borderId="67" xfId="0" applyFont="1" applyBorder="1" applyAlignment="1">
      <alignment horizontal="center"/>
    </xf>
    <xf numFmtId="0" fontId="26" fillId="0" borderId="0" xfId="0" applyFont="1" applyAlignment="1">
      <alignment horizontal="right"/>
    </xf>
    <xf numFmtId="0" fontId="27" fillId="0" borderId="0" xfId="0" applyFont="1"/>
    <xf numFmtId="0" fontId="27" fillId="0" borderId="68" xfId="0" applyFont="1" applyBorder="1"/>
    <xf numFmtId="0" fontId="27" fillId="0" borderId="68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28" fillId="0" borderId="0" xfId="0" applyFont="1"/>
    <xf numFmtId="0" fontId="16" fillId="0" borderId="67" xfId="0" applyFont="1" applyBorder="1"/>
    <xf numFmtId="0" fontId="29" fillId="0" borderId="0" xfId="0" applyFont="1" applyAlignment="1">
      <alignment horizontal="left"/>
    </xf>
    <xf numFmtId="0" fontId="29" fillId="0" borderId="0" xfId="0" applyFont="1"/>
    <xf numFmtId="0" fontId="30" fillId="0" borderId="0" xfId="0" applyFont="1" applyAlignment="1">
      <alignment horizontal="center"/>
    </xf>
    <xf numFmtId="0" fontId="16" fillId="0" borderId="67" xfId="0" applyFont="1" applyBorder="1" applyAlignment="1">
      <alignment horizontal="center"/>
    </xf>
    <xf numFmtId="0" fontId="31" fillId="0" borderId="0" xfId="0" applyFont="1"/>
    <xf numFmtId="0" fontId="16" fillId="0" borderId="69" xfId="0" applyFont="1" applyBorder="1"/>
    <xf numFmtId="0" fontId="16" fillId="0" borderId="70" xfId="0" applyFont="1" applyBorder="1"/>
    <xf numFmtId="0" fontId="16" fillId="0" borderId="70" xfId="0" applyFont="1" applyBorder="1" applyAlignment="1">
      <alignment horizontal="center"/>
    </xf>
    <xf numFmtId="0" fontId="16" fillId="0" borderId="66" xfId="0" applyFont="1" applyBorder="1"/>
    <xf numFmtId="0" fontId="15" fillId="0" borderId="66" xfId="0" applyFont="1" applyBorder="1" applyAlignment="1">
      <alignment horizontal="center"/>
    </xf>
    <xf numFmtId="0" fontId="16" fillId="0" borderId="72" xfId="0" applyFont="1" applyBorder="1"/>
    <xf numFmtId="0" fontId="15" fillId="0" borderId="0" xfId="0" applyFont="1" applyAlignment="1">
      <alignment horizontal="center"/>
    </xf>
    <xf numFmtId="0" fontId="0" fillId="0" borderId="66" xfId="0" applyBorder="1"/>
    <xf numFmtId="0" fontId="32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8" fillId="0" borderId="68" xfId="0" applyFont="1" applyBorder="1"/>
    <xf numFmtId="17" fontId="9" fillId="2" borderId="0" xfId="0" applyNumberFormat="1" applyFont="1" applyFill="1"/>
    <xf numFmtId="0" fontId="34" fillId="0" borderId="60" xfId="0" applyFont="1" applyBorder="1"/>
    <xf numFmtId="0" fontId="35" fillId="0" borderId="60" xfId="0" applyFont="1" applyBorder="1"/>
    <xf numFmtId="0" fontId="35" fillId="2" borderId="60" xfId="0" applyFont="1" applyFill="1" applyBorder="1"/>
    <xf numFmtId="0" fontId="21" fillId="0" borderId="60" xfId="0" applyFont="1" applyBorder="1"/>
    <xf numFmtId="0" fontId="21" fillId="0" borderId="0" xfId="0" applyFont="1"/>
    <xf numFmtId="0" fontId="9" fillId="2" borderId="60" xfId="0" applyFont="1" applyFill="1" applyBorder="1"/>
    <xf numFmtId="3" fontId="9" fillId="2" borderId="60" xfId="0" applyNumberFormat="1" applyFont="1" applyFill="1" applyBorder="1"/>
    <xf numFmtId="0" fontId="36" fillId="0" borderId="5" xfId="0" applyFont="1" applyBorder="1" applyAlignment="1">
      <alignment horizontal="left"/>
    </xf>
    <xf numFmtId="0" fontId="20" fillId="0" borderId="10" xfId="0" applyFont="1" applyBorder="1"/>
    <xf numFmtId="0" fontId="20" fillId="0" borderId="14" xfId="0" applyFont="1" applyBorder="1"/>
    <xf numFmtId="0" fontId="20" fillId="0" borderId="18" xfId="0" applyFont="1" applyBorder="1"/>
    <xf numFmtId="6" fontId="21" fillId="0" borderId="6" xfId="0" applyNumberFormat="1" applyFont="1" applyBorder="1"/>
    <xf numFmtId="0" fontId="20" fillId="0" borderId="6" xfId="0" applyFont="1" applyBorder="1"/>
    <xf numFmtId="0" fontId="20" fillId="0" borderId="13" xfId="0" applyFont="1" applyBorder="1"/>
    <xf numFmtId="0" fontId="20" fillId="0" borderId="22" xfId="0" applyFont="1" applyBorder="1"/>
    <xf numFmtId="0" fontId="20" fillId="0" borderId="25" xfId="0" applyFont="1" applyBorder="1"/>
    <xf numFmtId="0" fontId="21" fillId="0" borderId="22" xfId="0" applyFont="1" applyBorder="1"/>
    <xf numFmtId="0" fontId="20" fillId="0" borderId="5" xfId="0" applyFont="1" applyBorder="1"/>
    <xf numFmtId="0" fontId="20" fillId="0" borderId="17" xfId="0" applyFont="1" applyBorder="1"/>
    <xf numFmtId="6" fontId="37" fillId="0" borderId="2" xfId="0" applyNumberFormat="1" applyFont="1" applyBorder="1"/>
    <xf numFmtId="0" fontId="20" fillId="0" borderId="9" xfId="0" applyFont="1" applyBorder="1"/>
    <xf numFmtId="0" fontId="38" fillId="0" borderId="32" xfId="0" applyFont="1" applyBorder="1"/>
    <xf numFmtId="6" fontId="37" fillId="0" borderId="37" xfId="0" applyNumberFormat="1" applyFont="1" applyBorder="1"/>
    <xf numFmtId="6" fontId="21" fillId="0" borderId="42" xfId="0" applyNumberFormat="1" applyFont="1" applyBorder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21" fillId="0" borderId="6" xfId="0" applyFont="1" applyBorder="1"/>
    <xf numFmtId="0" fontId="21" fillId="0" borderId="28" xfId="0" applyFont="1" applyBorder="1"/>
    <xf numFmtId="0" fontId="21" fillId="0" borderId="31" xfId="0" applyFont="1" applyBorder="1"/>
    <xf numFmtId="0" fontId="20" fillId="0" borderId="24" xfId="0" applyFont="1" applyBorder="1"/>
    <xf numFmtId="0" fontId="38" fillId="0" borderId="17" xfId="0" applyFont="1" applyBorder="1"/>
    <xf numFmtId="6" fontId="21" fillId="0" borderId="35" xfId="0" applyNumberFormat="1" applyFont="1" applyBorder="1"/>
    <xf numFmtId="6" fontId="37" fillId="0" borderId="39" xfId="0" applyNumberFormat="1" applyFont="1" applyBorder="1"/>
    <xf numFmtId="0" fontId="19" fillId="0" borderId="65" xfId="0" applyFont="1" applyBorder="1"/>
    <xf numFmtId="0" fontId="19" fillId="0" borderId="4" xfId="0" applyFont="1" applyBorder="1"/>
    <xf numFmtId="3" fontId="16" fillId="0" borderId="0" xfId="0" applyNumberFormat="1" applyFont="1"/>
    <xf numFmtId="41" fontId="8" fillId="0" borderId="13" xfId="1" applyFont="1" applyBorder="1"/>
    <xf numFmtId="41" fontId="8" fillId="0" borderId="9" xfId="1" applyFont="1" applyBorder="1"/>
    <xf numFmtId="41" fontId="7" fillId="0" borderId="3" xfId="1" applyFont="1" applyBorder="1" applyAlignment="1">
      <alignment horizontal="right"/>
    </xf>
    <xf numFmtId="41" fontId="8" fillId="0" borderId="17" xfId="1" applyFont="1" applyBorder="1"/>
    <xf numFmtId="41" fontId="8" fillId="0" borderId="3" xfId="1" applyFont="1" applyBorder="1"/>
    <xf numFmtId="41" fontId="8" fillId="0" borderId="7" xfId="1" applyFont="1" applyBorder="1"/>
    <xf numFmtId="41" fontId="8" fillId="0" borderId="20" xfId="1" applyFont="1" applyBorder="1"/>
    <xf numFmtId="41" fontId="9" fillId="0" borderId="0" xfId="1" applyFont="1"/>
    <xf numFmtId="41" fontId="8" fillId="0" borderId="27" xfId="1" applyFont="1" applyBorder="1"/>
    <xf numFmtId="41" fontId="8" fillId="0" borderId="30" xfId="1" applyFont="1" applyBorder="1"/>
    <xf numFmtId="41" fontId="21" fillId="0" borderId="6" xfId="0" applyNumberFormat="1" applyFont="1" applyBorder="1"/>
    <xf numFmtId="0" fontId="5" fillId="0" borderId="40" xfId="0" applyFont="1" applyBorder="1"/>
    <xf numFmtId="0" fontId="5" fillId="0" borderId="41" xfId="0" applyFont="1" applyBorder="1"/>
    <xf numFmtId="0" fontId="8" fillId="0" borderId="57" xfId="0" applyFont="1" applyBorder="1"/>
    <xf numFmtId="0" fontId="8" fillId="0" borderId="74" xfId="0" applyFont="1" applyBorder="1"/>
    <xf numFmtId="0" fontId="8" fillId="0" borderId="75" xfId="0" applyFont="1" applyBorder="1"/>
    <xf numFmtId="0" fontId="8" fillId="0" borderId="21" xfId="0" applyFont="1" applyBorder="1"/>
    <xf numFmtId="0" fontId="8" fillId="0" borderId="76" xfId="0" applyFont="1" applyBorder="1"/>
    <xf numFmtId="0" fontId="8" fillId="0" borderId="77" xfId="0" applyFont="1" applyBorder="1"/>
    <xf numFmtId="0" fontId="17" fillId="0" borderId="79" xfId="0" applyFont="1" applyBorder="1"/>
    <xf numFmtId="0" fontId="9" fillId="0" borderId="80" xfId="0" applyFont="1" applyBorder="1"/>
    <xf numFmtId="41" fontId="8" fillId="0" borderId="24" xfId="1" applyFont="1" applyBorder="1"/>
    <xf numFmtId="41" fontId="24" fillId="0" borderId="0" xfId="1" applyFont="1" applyAlignment="1">
      <alignment horizontal="center"/>
    </xf>
    <xf numFmtId="41" fontId="25" fillId="0" borderId="0" xfId="1" applyFont="1" applyAlignment="1">
      <alignment horizontal="center"/>
    </xf>
    <xf numFmtId="41" fontId="26" fillId="0" borderId="67" xfId="1" applyFont="1" applyBorder="1"/>
    <xf numFmtId="41" fontId="27" fillId="0" borderId="68" xfId="1" applyFont="1" applyBorder="1" applyAlignment="1">
      <alignment horizontal="right"/>
    </xf>
    <xf numFmtId="41" fontId="16" fillId="0" borderId="0" xfId="1" applyFont="1"/>
    <xf numFmtId="41" fontId="4" fillId="0" borderId="67" xfId="1" applyFont="1" applyBorder="1"/>
    <xf numFmtId="41" fontId="16" fillId="0" borderId="68" xfId="1" applyFont="1" applyBorder="1"/>
    <xf numFmtId="41" fontId="16" fillId="0" borderId="67" xfId="1" applyFont="1" applyBorder="1"/>
    <xf numFmtId="41" fontId="15" fillId="0" borderId="67" xfId="1" applyFont="1" applyBorder="1"/>
    <xf numFmtId="41" fontId="29" fillId="0" borderId="0" xfId="1" applyFont="1" applyAlignment="1">
      <alignment horizontal="left"/>
    </xf>
    <xf numFmtId="41" fontId="27" fillId="0" borderId="0" xfId="1" applyFont="1"/>
    <xf numFmtId="41" fontId="29" fillId="0" borderId="0" xfId="1" applyFont="1"/>
    <xf numFmtId="41" fontId="30" fillId="0" borderId="0" xfId="1" applyFont="1" applyAlignment="1">
      <alignment horizontal="center"/>
    </xf>
    <xf numFmtId="41" fontId="16" fillId="0" borderId="71" xfId="1" applyFont="1" applyBorder="1"/>
    <xf numFmtId="41" fontId="16" fillId="0" borderId="43" xfId="1" applyFont="1" applyBorder="1"/>
    <xf numFmtId="41" fontId="15" fillId="0" borderId="43" xfId="1" applyFont="1" applyBorder="1" applyAlignment="1">
      <alignment horizontal="center"/>
    </xf>
    <xf numFmtId="41" fontId="16" fillId="0" borderId="73" xfId="1" applyFont="1" applyBorder="1"/>
    <xf numFmtId="41" fontId="0" fillId="0" borderId="0" xfId="1" applyFont="1"/>
    <xf numFmtId="41" fontId="15" fillId="0" borderId="0" xfId="1" applyFont="1" applyAlignment="1"/>
    <xf numFmtId="41" fontId="8" fillId="0" borderId="56" xfId="1" applyFont="1" applyBorder="1" applyAlignment="1"/>
    <xf numFmtId="41" fontId="8" fillId="0" borderId="82" xfId="1" applyFont="1" applyBorder="1" applyAlignment="1"/>
    <xf numFmtId="41" fontId="8" fillId="0" borderId="60" xfId="1" applyFont="1" applyBorder="1" applyAlignment="1"/>
    <xf numFmtId="41" fontId="9" fillId="0" borderId="80" xfId="1" applyFont="1" applyBorder="1" applyAlignment="1"/>
    <xf numFmtId="41" fontId="15" fillId="0" borderId="0" xfId="1" applyFont="1"/>
    <xf numFmtId="41" fontId="8" fillId="0" borderId="56" xfId="1" applyFont="1" applyBorder="1" applyAlignment="1">
      <alignment horizontal="center"/>
    </xf>
    <xf numFmtId="41" fontId="8" fillId="0" borderId="78" xfId="1" applyFont="1" applyBorder="1"/>
    <xf numFmtId="41" fontId="9" fillId="0" borderId="81" xfId="1" applyFont="1" applyBorder="1"/>
    <xf numFmtId="41" fontId="8" fillId="0" borderId="0" xfId="1" applyFont="1"/>
    <xf numFmtId="41" fontId="16" fillId="0" borderId="0" xfId="1" applyFont="1" applyAlignment="1"/>
    <xf numFmtId="41" fontId="0" fillId="0" borderId="0" xfId="0" applyNumberFormat="1"/>
    <xf numFmtId="0" fontId="32" fillId="0" borderId="0" xfId="0" applyFont="1"/>
    <xf numFmtId="0" fontId="33" fillId="0" borderId="0" xfId="0" applyFont="1"/>
    <xf numFmtId="3" fontId="4" fillId="0" borderId="56" xfId="0" applyNumberFormat="1" applyFont="1" applyBorder="1"/>
    <xf numFmtId="41" fontId="8" fillId="0" borderId="0" xfId="0" applyNumberFormat="1" applyFont="1"/>
    <xf numFmtId="0" fontId="42" fillId="0" borderId="0" xfId="0" applyFont="1"/>
    <xf numFmtId="41" fontId="8" fillId="0" borderId="24" xfId="0" applyNumberFormat="1" applyFont="1" applyBorder="1"/>
    <xf numFmtId="41" fontId="8" fillId="0" borderId="13" xfId="0" applyNumberFormat="1" applyFont="1" applyBorder="1"/>
    <xf numFmtId="41" fontId="8" fillId="0" borderId="17" xfId="0" applyNumberFormat="1" applyFont="1" applyBorder="1"/>
    <xf numFmtId="41" fontId="35" fillId="0" borderId="60" xfId="1" applyFont="1" applyBorder="1"/>
    <xf numFmtId="41" fontId="35" fillId="2" borderId="60" xfId="1" applyFont="1" applyFill="1" applyBorder="1"/>
    <xf numFmtId="41" fontId="17" fillId="0" borderId="22" xfId="0" applyNumberFormat="1" applyFont="1" applyBorder="1"/>
    <xf numFmtId="41" fontId="8" fillId="0" borderId="9" xfId="0" applyNumberFormat="1" applyFont="1" applyBorder="1"/>
    <xf numFmtId="41" fontId="7" fillId="0" borderId="17" xfId="1" applyFont="1" applyBorder="1"/>
    <xf numFmtId="41" fontId="37" fillId="0" borderId="35" xfId="0" applyNumberFormat="1" applyFont="1" applyBorder="1"/>
    <xf numFmtId="41" fontId="4" fillId="0" borderId="61" xfId="1" applyFont="1" applyBorder="1"/>
    <xf numFmtId="41" fontId="4" fillId="3" borderId="61" xfId="1" applyFont="1" applyFill="1" applyBorder="1"/>
    <xf numFmtId="41" fontId="4" fillId="3" borderId="64" xfId="1" applyFont="1" applyFill="1" applyBorder="1"/>
    <xf numFmtId="41" fontId="8" fillId="0" borderId="60" xfId="1" applyFont="1" applyBorder="1"/>
    <xf numFmtId="41" fontId="4" fillId="0" borderId="60" xfId="1" applyFont="1" applyBorder="1"/>
    <xf numFmtId="41" fontId="17" fillId="0" borderId="59" xfId="1" applyFont="1" applyBorder="1"/>
    <xf numFmtId="41" fontId="17" fillId="0" borderId="6" xfId="1" applyFont="1" applyBorder="1"/>
    <xf numFmtId="41" fontId="15" fillId="0" borderId="0" xfId="0" applyNumberFormat="1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8" fillId="3" borderId="14" xfId="0" applyFont="1" applyFill="1" applyBorder="1"/>
    <xf numFmtId="41" fontId="8" fillId="3" borderId="13" xfId="1" applyFont="1" applyFill="1" applyBorder="1"/>
    <xf numFmtId="0" fontId="3" fillId="0" borderId="46" xfId="0" applyFont="1" applyBorder="1"/>
    <xf numFmtId="41" fontId="4" fillId="0" borderId="22" xfId="0" applyNumberFormat="1" applyFont="1" applyBorder="1"/>
    <xf numFmtId="0" fontId="4" fillId="0" borderId="83" xfId="0" applyFont="1" applyBorder="1"/>
    <xf numFmtId="0" fontId="0" fillId="0" borderId="60" xfId="0" applyBorder="1"/>
    <xf numFmtId="0" fontId="43" fillId="0" borderId="0" xfId="0" applyFont="1" applyAlignment="1">
      <alignment horizontal="left"/>
    </xf>
    <xf numFmtId="0" fontId="43" fillId="0" borderId="0" xfId="0" applyFont="1"/>
    <xf numFmtId="0" fontId="44" fillId="0" borderId="0" xfId="0" applyFont="1"/>
    <xf numFmtId="0" fontId="8" fillId="0" borderId="0" xfId="0" applyFont="1"/>
    <xf numFmtId="0" fontId="5" fillId="0" borderId="33" xfId="0" applyFont="1" applyBorder="1"/>
    <xf numFmtId="0" fontId="5" fillId="0" borderId="34" xfId="0" applyFont="1" applyBorder="1"/>
    <xf numFmtId="0" fontId="8" fillId="0" borderId="7" xfId="0" applyFont="1" applyBorder="1"/>
    <xf numFmtId="0" fontId="8" fillId="0" borderId="1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14" xfId="0" applyFont="1" applyBorder="1"/>
    <xf numFmtId="0" fontId="8" fillId="0" borderId="53" xfId="0" applyFont="1" applyBorder="1"/>
    <xf numFmtId="0" fontId="8" fillId="0" borderId="54" xfId="0" applyFont="1" applyBorder="1"/>
    <xf numFmtId="0" fontId="9" fillId="0" borderId="53" xfId="0" applyFont="1" applyBorder="1"/>
    <xf numFmtId="0" fontId="9" fillId="0" borderId="55" xfId="0" applyFont="1" applyBorder="1"/>
    <xf numFmtId="0" fontId="9" fillId="0" borderId="54" xfId="0" applyFont="1" applyBorder="1"/>
    <xf numFmtId="0" fontId="9" fillId="0" borderId="33" xfId="0" applyFont="1" applyBorder="1"/>
    <xf numFmtId="0" fontId="9" fillId="0" borderId="34" xfId="0" applyFont="1" applyBorder="1"/>
    <xf numFmtId="0" fontId="9" fillId="0" borderId="52" xfId="0" applyFont="1" applyBorder="1"/>
    <xf numFmtId="0" fontId="9" fillId="0" borderId="36" xfId="0" applyFont="1" applyBorder="1"/>
    <xf numFmtId="0" fontId="8" fillId="0" borderId="49" xfId="0" applyFont="1" applyBorder="1"/>
    <xf numFmtId="0" fontId="8" fillId="0" borderId="51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2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33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8" fillId="0" borderId="1" xfId="0" applyFont="1" applyBorder="1"/>
    <xf numFmtId="0" fontId="8" fillId="0" borderId="2" xfId="0" applyFont="1" applyBorder="1"/>
    <xf numFmtId="0" fontId="9" fillId="0" borderId="7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7" fillId="0" borderId="2" xfId="0" applyFont="1" applyBorder="1"/>
    <xf numFmtId="0" fontId="4" fillId="0" borderId="0" xfId="0" applyFont="1" applyAlignment="1">
      <alignment vertical="center"/>
    </xf>
    <xf numFmtId="0" fontId="16" fillId="0" borderId="0" xfId="0" applyFont="1"/>
    <xf numFmtId="0" fontId="4" fillId="0" borderId="8" xfId="0" applyFont="1" applyBorder="1"/>
    <xf numFmtId="0" fontId="4" fillId="0" borderId="0" xfId="0" applyFont="1"/>
    <xf numFmtId="0" fontId="4" fillId="0" borderId="11" xfId="0" applyFont="1" applyBorder="1"/>
    <xf numFmtId="0" fontId="4" fillId="0" borderId="32" xfId="0" applyFont="1" applyBorder="1"/>
    <xf numFmtId="0" fontId="4" fillId="0" borderId="4" xfId="0" applyFont="1" applyBorder="1"/>
    <xf numFmtId="0" fontId="4" fillId="0" borderId="2" xfId="0" applyFont="1" applyBorder="1"/>
    <xf numFmtId="0" fontId="18" fillId="0" borderId="2" xfId="0" applyFont="1" applyBorder="1"/>
    <xf numFmtId="0" fontId="4" fillId="0" borderId="15" xfId="0" applyFont="1" applyBorder="1"/>
    <xf numFmtId="0" fontId="4" fillId="0" borderId="16" xfId="0" applyFont="1" applyBorder="1"/>
    <xf numFmtId="0" fontId="15" fillId="0" borderId="46" xfId="0" applyFont="1" applyBorder="1" applyAlignment="1">
      <alignment horizontal="center"/>
    </xf>
    <xf numFmtId="0" fontId="15" fillId="0" borderId="1" xfId="0" applyFont="1" applyBorder="1"/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17" fontId="15" fillId="0" borderId="2" xfId="0" applyNumberFormat="1" applyFont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5AAB-3B0D-4826-AF1F-2DB5D0F2EC60}">
  <dimension ref="A1:N57"/>
  <sheetViews>
    <sheetView showGridLines="0" topLeftCell="A34" workbookViewId="0">
      <selection activeCell="K40" sqref="K40"/>
    </sheetView>
  </sheetViews>
  <sheetFormatPr baseColWidth="10" defaultRowHeight="15" x14ac:dyDescent="0.25"/>
  <cols>
    <col min="1" max="1" width="2.85546875" customWidth="1"/>
    <col min="2" max="2" width="18.140625" customWidth="1"/>
    <col min="3" max="3" width="11.85546875" customWidth="1"/>
    <col min="4" max="4" width="9.85546875" style="164" customWidth="1"/>
    <col min="5" max="5" width="2.42578125" customWidth="1"/>
    <col min="6" max="6" width="3.28515625" customWidth="1"/>
    <col min="7" max="7" width="22.28515625" customWidth="1"/>
    <col min="8" max="8" width="10.5703125" customWidth="1"/>
    <col min="9" max="9" width="9.7109375" style="164" customWidth="1"/>
  </cols>
  <sheetData>
    <row r="1" spans="1:14" ht="15.75" x14ac:dyDescent="0.25">
      <c r="A1" s="297" t="s">
        <v>198</v>
      </c>
      <c r="B1" s="297"/>
      <c r="C1" s="297"/>
      <c r="D1" s="297"/>
      <c r="E1" s="297"/>
      <c r="F1" s="297"/>
      <c r="G1" s="297"/>
      <c r="H1" s="297"/>
      <c r="I1" s="297"/>
      <c r="J1" s="1"/>
      <c r="K1" s="1"/>
      <c r="L1" s="1"/>
      <c r="M1" s="1"/>
      <c r="N1" s="1"/>
    </row>
    <row r="2" spans="1:14" ht="17.25" thickBot="1" x14ac:dyDescent="0.3">
      <c r="A2" s="253" t="s">
        <v>199</v>
      </c>
      <c r="B2" s="253"/>
      <c r="C2" s="253"/>
      <c r="D2" s="253"/>
      <c r="E2" s="253"/>
      <c r="F2" s="253"/>
      <c r="G2" s="253"/>
      <c r="H2" s="253" t="s">
        <v>205</v>
      </c>
      <c r="I2" s="253">
        <v>2025</v>
      </c>
      <c r="J2" s="2"/>
      <c r="K2" s="2"/>
      <c r="L2" s="2"/>
      <c r="M2" s="2"/>
      <c r="N2" s="2"/>
    </row>
    <row r="3" spans="1:14" ht="15.75" thickBot="1" x14ac:dyDescent="0.3">
      <c r="A3" s="298" t="s">
        <v>208</v>
      </c>
      <c r="B3" s="299"/>
      <c r="C3" s="299"/>
      <c r="D3" s="300"/>
      <c r="E3" s="298" t="s">
        <v>0</v>
      </c>
      <c r="F3" s="299"/>
      <c r="G3" s="299"/>
      <c r="H3" s="299"/>
      <c r="I3" s="299"/>
      <c r="J3" s="3"/>
      <c r="K3" s="3"/>
      <c r="L3" s="3"/>
      <c r="M3" s="3"/>
      <c r="N3" s="3"/>
    </row>
    <row r="4" spans="1:14" ht="15.75" thickBot="1" x14ac:dyDescent="0.3">
      <c r="A4" s="301" t="s">
        <v>1</v>
      </c>
      <c r="B4" s="302"/>
      <c r="C4" s="177">
        <v>2236439</v>
      </c>
      <c r="D4" s="145"/>
      <c r="E4" s="295" t="s">
        <v>2</v>
      </c>
      <c r="F4" s="296"/>
      <c r="G4" s="296"/>
      <c r="H4" s="5"/>
      <c r="I4" s="150"/>
      <c r="J4" s="3"/>
      <c r="K4" s="3"/>
      <c r="L4" s="3"/>
      <c r="M4" s="3"/>
      <c r="N4" s="3"/>
    </row>
    <row r="5" spans="1:14" x14ac:dyDescent="0.25">
      <c r="A5" s="291" t="s">
        <v>3</v>
      </c>
      <c r="B5" s="292"/>
      <c r="C5" s="176">
        <v>1739396</v>
      </c>
      <c r="D5" s="146"/>
      <c r="E5" s="8" t="s">
        <v>4</v>
      </c>
      <c r="F5" s="8">
        <v>1</v>
      </c>
      <c r="G5" s="9" t="s">
        <v>5</v>
      </c>
      <c r="H5" s="176">
        <f>IGLESIA!H13</f>
        <v>550000</v>
      </c>
      <c r="I5" s="158"/>
      <c r="J5" s="4"/>
      <c r="K5" s="4"/>
      <c r="L5" s="4"/>
      <c r="M5" s="4"/>
      <c r="N5" s="4"/>
    </row>
    <row r="6" spans="1:14" x14ac:dyDescent="0.25">
      <c r="A6" s="291" t="s">
        <v>160</v>
      </c>
      <c r="B6" s="292"/>
      <c r="C6" s="175">
        <v>271633</v>
      </c>
      <c r="D6" s="147"/>
      <c r="E6" s="13" t="s">
        <v>4</v>
      </c>
      <c r="F6" s="13">
        <v>2</v>
      </c>
      <c r="G6" s="12" t="s">
        <v>6</v>
      </c>
      <c r="H6" s="175">
        <f>IGLESIA!J28</f>
        <v>167833</v>
      </c>
      <c r="I6" s="151"/>
      <c r="J6" s="4"/>
      <c r="K6" s="4"/>
      <c r="L6" s="4"/>
      <c r="M6" s="4"/>
      <c r="N6" s="4"/>
    </row>
    <row r="7" spans="1:14" x14ac:dyDescent="0.25">
      <c r="A7" s="291" t="s">
        <v>7</v>
      </c>
      <c r="B7" s="292"/>
      <c r="C7" s="175">
        <v>32769</v>
      </c>
      <c r="D7" s="147"/>
      <c r="E7" s="13" t="s">
        <v>4</v>
      </c>
      <c r="F7" s="13">
        <v>3</v>
      </c>
      <c r="G7" s="251" t="s">
        <v>8</v>
      </c>
      <c r="H7" s="252">
        <f>D15*10%</f>
        <v>0</v>
      </c>
      <c r="I7" s="151"/>
      <c r="J7" s="4"/>
      <c r="K7" s="15"/>
      <c r="L7" s="4"/>
      <c r="M7" s="4"/>
      <c r="N7" s="4"/>
    </row>
    <row r="8" spans="1:14" ht="15.75" thickBot="1" x14ac:dyDescent="0.3">
      <c r="A8" s="293" t="s">
        <v>9</v>
      </c>
      <c r="B8" s="294"/>
      <c r="C8" s="178">
        <v>300996</v>
      </c>
      <c r="D8" s="148"/>
      <c r="E8" s="13" t="s">
        <v>4</v>
      </c>
      <c r="F8" s="13">
        <v>4</v>
      </c>
      <c r="G8" s="251" t="s">
        <v>10</v>
      </c>
      <c r="H8" s="252">
        <f>D15*3%</f>
        <v>0</v>
      </c>
      <c r="I8" s="151"/>
      <c r="J8" s="4"/>
      <c r="K8" s="4"/>
      <c r="L8" s="4"/>
      <c r="M8" s="4"/>
      <c r="N8" s="4"/>
    </row>
    <row r="9" spans="1:14" ht="15.75" thickBot="1" x14ac:dyDescent="0.3">
      <c r="A9" s="282" t="s">
        <v>11</v>
      </c>
      <c r="B9" s="283"/>
      <c r="C9" s="5"/>
      <c r="D9" s="185">
        <f>SUM(C4:C8)</f>
        <v>4581233</v>
      </c>
      <c r="E9" s="13" t="s">
        <v>4</v>
      </c>
      <c r="F9" s="13">
        <v>5</v>
      </c>
      <c r="G9" s="251" t="s">
        <v>12</v>
      </c>
      <c r="H9" s="252">
        <f>D15*2%</f>
        <v>0</v>
      </c>
      <c r="I9" s="151"/>
      <c r="J9" s="4"/>
      <c r="K9" s="4"/>
      <c r="L9" s="4"/>
      <c r="M9" s="4"/>
      <c r="N9" s="4"/>
    </row>
    <row r="10" spans="1:14" ht="15.75" thickBot="1" x14ac:dyDescent="0.3">
      <c r="A10" s="295" t="s">
        <v>13</v>
      </c>
      <c r="B10" s="296"/>
      <c r="C10" s="5"/>
      <c r="D10" s="150"/>
      <c r="E10" s="13" t="s">
        <v>4</v>
      </c>
      <c r="F10" s="13">
        <v>6</v>
      </c>
      <c r="G10" s="12" t="s">
        <v>14</v>
      </c>
      <c r="H10" s="175">
        <v>0</v>
      </c>
      <c r="I10" s="151"/>
      <c r="J10" s="4"/>
      <c r="K10" s="230"/>
      <c r="L10" s="4"/>
      <c r="M10" s="4"/>
      <c r="N10" s="4"/>
    </row>
    <row r="11" spans="1:14" x14ac:dyDescent="0.25">
      <c r="A11" s="19">
        <v>1</v>
      </c>
      <c r="B11" s="7" t="s">
        <v>15</v>
      </c>
      <c r="C11" s="176">
        <v>0</v>
      </c>
      <c r="D11" s="146"/>
      <c r="E11" s="13" t="s">
        <v>4</v>
      </c>
      <c r="F11" s="13">
        <v>7</v>
      </c>
      <c r="G11" s="12" t="s">
        <v>16</v>
      </c>
      <c r="H11" s="175">
        <v>4000</v>
      </c>
      <c r="I11" s="151"/>
      <c r="J11" s="4"/>
      <c r="K11" s="4"/>
      <c r="L11" s="4"/>
      <c r="M11" s="4"/>
      <c r="N11" s="4"/>
    </row>
    <row r="12" spans="1:14" x14ac:dyDescent="0.25">
      <c r="A12" s="20">
        <v>2</v>
      </c>
      <c r="B12" s="12" t="s">
        <v>17</v>
      </c>
      <c r="C12" s="175">
        <v>0</v>
      </c>
      <c r="D12" s="151"/>
      <c r="E12" s="13" t="s">
        <v>4</v>
      </c>
      <c r="F12" s="13">
        <v>8</v>
      </c>
      <c r="G12" s="12" t="s">
        <v>18</v>
      </c>
      <c r="H12" s="175">
        <v>300</v>
      </c>
      <c r="I12" s="151"/>
      <c r="J12" s="4"/>
      <c r="K12" s="4"/>
      <c r="L12" s="4"/>
      <c r="M12" s="4"/>
      <c r="N12" s="4"/>
    </row>
    <row r="13" spans="1:14" x14ac:dyDescent="0.25">
      <c r="A13" s="21">
        <v>3</v>
      </c>
      <c r="B13" s="22" t="s">
        <v>19</v>
      </c>
      <c r="C13" s="175"/>
      <c r="D13" s="152"/>
      <c r="E13" s="13" t="s">
        <v>4</v>
      </c>
      <c r="F13" s="13">
        <v>9</v>
      </c>
      <c r="G13" s="12" t="s">
        <v>20</v>
      </c>
      <c r="H13" s="175">
        <v>0</v>
      </c>
      <c r="I13" s="151"/>
      <c r="J13" s="4"/>
      <c r="K13" s="4"/>
      <c r="L13" s="4"/>
      <c r="M13" s="4"/>
      <c r="N13" s="4"/>
    </row>
    <row r="14" spans="1:14" ht="15.75" thickBot="1" x14ac:dyDescent="0.3">
      <c r="A14" s="21"/>
      <c r="B14" s="23"/>
      <c r="C14" s="196">
        <v>0</v>
      </c>
      <c r="D14" s="153"/>
      <c r="E14" s="13" t="s">
        <v>4</v>
      </c>
      <c r="F14" s="13">
        <v>10</v>
      </c>
      <c r="G14" s="147" t="s">
        <v>21</v>
      </c>
      <c r="H14" s="175">
        <v>3000</v>
      </c>
      <c r="I14" s="151"/>
      <c r="J14" s="4"/>
      <c r="K14" s="4"/>
      <c r="L14" s="4"/>
      <c r="M14" s="4"/>
      <c r="N14" s="4"/>
    </row>
    <row r="15" spans="1:14" ht="15.75" thickBot="1" x14ac:dyDescent="0.3">
      <c r="A15" s="25"/>
      <c r="B15" s="26" t="s">
        <v>22</v>
      </c>
      <c r="C15" s="26"/>
      <c r="D15" s="185">
        <f>SUM(C11:C12)</f>
        <v>0</v>
      </c>
      <c r="E15" s="27"/>
      <c r="F15" s="27"/>
      <c r="G15" s="28" t="s">
        <v>23</v>
      </c>
      <c r="H15" s="26"/>
      <c r="I15" s="185">
        <f>SUM(H5:H14)</f>
        <v>725133</v>
      </c>
      <c r="J15" s="4"/>
      <c r="K15" s="4"/>
      <c r="L15" s="4"/>
      <c r="M15" s="4"/>
      <c r="N15" s="4"/>
    </row>
    <row r="16" spans="1:14" ht="15.75" thickBot="1" x14ac:dyDescent="0.3">
      <c r="A16" s="26" t="s">
        <v>24</v>
      </c>
      <c r="B16" s="26"/>
      <c r="C16" s="4"/>
      <c r="D16" s="154"/>
      <c r="E16" s="289"/>
      <c r="F16" s="290"/>
      <c r="G16" s="26" t="s">
        <v>25</v>
      </c>
      <c r="H16" s="26"/>
      <c r="I16" s="165"/>
      <c r="J16" s="4"/>
      <c r="K16" s="4"/>
      <c r="L16" s="4"/>
      <c r="M16" s="4"/>
      <c r="N16" s="4"/>
    </row>
    <row r="17" spans="1:14" x14ac:dyDescent="0.25">
      <c r="A17" s="19">
        <v>5</v>
      </c>
      <c r="B17" s="7" t="s">
        <v>26</v>
      </c>
      <c r="C17" s="179">
        <f>D15*2%+D17</f>
        <v>0</v>
      </c>
      <c r="D17" s="155"/>
      <c r="E17" s="13" t="s">
        <v>4</v>
      </c>
      <c r="F17" s="29">
        <v>11</v>
      </c>
      <c r="G17" s="7" t="s">
        <v>27</v>
      </c>
      <c r="H17" s="183"/>
      <c r="I17" s="166"/>
      <c r="J17" s="4"/>
      <c r="K17" s="4"/>
      <c r="L17" s="4"/>
      <c r="M17" s="4"/>
      <c r="N17" s="4"/>
    </row>
    <row r="18" spans="1:14" x14ac:dyDescent="0.25">
      <c r="A18" s="30">
        <v>6</v>
      </c>
      <c r="B18" s="12" t="s">
        <v>28</v>
      </c>
      <c r="C18" s="180"/>
      <c r="D18" s="151"/>
      <c r="E18" s="13" t="s">
        <v>4</v>
      </c>
      <c r="F18" s="31">
        <v>12</v>
      </c>
      <c r="G18" s="12" t="s">
        <v>29</v>
      </c>
      <c r="H18" s="184"/>
      <c r="I18" s="167"/>
      <c r="J18" s="4"/>
      <c r="K18" s="4"/>
      <c r="L18" s="4"/>
      <c r="M18" s="4"/>
      <c r="N18" s="4"/>
    </row>
    <row r="19" spans="1:14" x14ac:dyDescent="0.25">
      <c r="A19" s="30">
        <v>7</v>
      </c>
      <c r="B19" s="12" t="s">
        <v>27</v>
      </c>
      <c r="C19" s="180"/>
      <c r="D19" s="151"/>
      <c r="E19" s="13" t="s">
        <v>4</v>
      </c>
      <c r="F19" s="31">
        <v>13</v>
      </c>
      <c r="G19" s="12" t="s">
        <v>28</v>
      </c>
      <c r="H19" s="184"/>
      <c r="I19" s="167"/>
      <c r="J19" s="4"/>
      <c r="K19" s="4"/>
      <c r="L19" s="4"/>
      <c r="M19" s="4"/>
      <c r="N19" s="4"/>
    </row>
    <row r="20" spans="1:14" x14ac:dyDescent="0.25">
      <c r="A20" s="30">
        <v>8</v>
      </c>
      <c r="B20" s="12" t="s">
        <v>30</v>
      </c>
      <c r="C20" s="180"/>
      <c r="D20" s="151"/>
      <c r="E20" s="13" t="s">
        <v>4</v>
      </c>
      <c r="F20" s="31">
        <v>14</v>
      </c>
      <c r="G20" s="12" t="s">
        <v>31</v>
      </c>
      <c r="H20" s="184"/>
      <c r="I20" s="167"/>
      <c r="J20" s="4"/>
      <c r="K20" s="4"/>
      <c r="L20" s="4"/>
      <c r="M20" s="4"/>
      <c r="N20" s="4"/>
    </row>
    <row r="21" spans="1:14" x14ac:dyDescent="0.25">
      <c r="A21" s="30">
        <v>9</v>
      </c>
      <c r="B21" s="12" t="s">
        <v>32</v>
      </c>
      <c r="C21" s="180"/>
      <c r="D21" s="151"/>
      <c r="E21" s="13" t="s">
        <v>4</v>
      </c>
      <c r="F21" s="31">
        <v>16</v>
      </c>
      <c r="G21" s="12" t="s">
        <v>33</v>
      </c>
      <c r="H21" s="184"/>
      <c r="I21" s="167"/>
      <c r="J21" s="4"/>
      <c r="K21" s="4"/>
      <c r="L21" s="4"/>
      <c r="M21" s="4"/>
      <c r="N21" s="4"/>
    </row>
    <row r="22" spans="1:14" x14ac:dyDescent="0.25">
      <c r="A22" s="30">
        <v>10</v>
      </c>
      <c r="B22" s="12" t="s">
        <v>34</v>
      </c>
      <c r="C22" s="180">
        <f>D15*2%+D22</f>
        <v>0</v>
      </c>
      <c r="D22" s="151"/>
      <c r="E22" s="13" t="s">
        <v>4</v>
      </c>
      <c r="F22" s="31">
        <v>17</v>
      </c>
      <c r="G22" s="12" t="s">
        <v>34</v>
      </c>
      <c r="H22" s="184"/>
      <c r="I22" s="167"/>
      <c r="J22" s="4"/>
      <c r="K22" s="4"/>
      <c r="L22" s="4"/>
      <c r="M22" s="4"/>
      <c r="N22" s="4"/>
    </row>
    <row r="23" spans="1:14" x14ac:dyDescent="0.25">
      <c r="A23" s="30">
        <v>11</v>
      </c>
      <c r="B23" s="12" t="s">
        <v>35</v>
      </c>
      <c r="C23" s="180">
        <f>D15*4%</f>
        <v>0</v>
      </c>
      <c r="D23" s="151"/>
      <c r="E23" s="13" t="s">
        <v>4</v>
      </c>
      <c r="F23" s="31">
        <v>18</v>
      </c>
      <c r="G23" s="17"/>
      <c r="H23" s="184"/>
      <c r="I23" s="167"/>
      <c r="J23" s="4"/>
      <c r="K23" s="4"/>
      <c r="L23" s="4"/>
      <c r="M23" s="4"/>
      <c r="N23" s="4"/>
    </row>
    <row r="24" spans="1:14" x14ac:dyDescent="0.25">
      <c r="A24" s="20">
        <v>12</v>
      </c>
      <c r="B24" s="17" t="s">
        <v>213</v>
      </c>
      <c r="C24" s="181">
        <v>100000</v>
      </c>
      <c r="D24" s="156"/>
      <c r="E24" s="13" t="s">
        <v>4</v>
      </c>
      <c r="F24" s="31">
        <v>19</v>
      </c>
      <c r="G24" s="50"/>
      <c r="H24" s="184"/>
      <c r="I24" s="167"/>
      <c r="J24" s="4"/>
      <c r="K24" s="4"/>
      <c r="L24" s="4"/>
      <c r="M24" s="4"/>
      <c r="N24" s="4"/>
    </row>
    <row r="25" spans="1:14" ht="15.75" thickBot="1" x14ac:dyDescent="0.3">
      <c r="A25" s="20">
        <v>13</v>
      </c>
      <c r="B25" s="17"/>
      <c r="C25" s="182"/>
      <c r="D25" s="151"/>
      <c r="E25" s="13" t="s">
        <v>4</v>
      </c>
      <c r="F25" s="51">
        <v>20</v>
      </c>
      <c r="G25" s="52"/>
      <c r="H25" s="184"/>
      <c r="I25" s="167"/>
      <c r="J25" s="18"/>
      <c r="K25" s="18"/>
      <c r="L25" s="18"/>
      <c r="M25" s="18"/>
      <c r="N25" s="18"/>
    </row>
    <row r="26" spans="1:14" ht="15.75" thickBot="1" x14ac:dyDescent="0.3">
      <c r="A26" s="20" t="s">
        <v>36</v>
      </c>
      <c r="B26" s="17"/>
      <c r="C26" s="181"/>
      <c r="D26" s="156"/>
      <c r="E26" s="282" t="s">
        <v>37</v>
      </c>
      <c r="F26" s="283"/>
      <c r="G26" s="283"/>
      <c r="H26" s="26"/>
      <c r="I26" s="185">
        <f>SUM(H17:H25)</f>
        <v>0</v>
      </c>
      <c r="J26" s="4"/>
      <c r="K26" s="4"/>
      <c r="L26" s="4"/>
      <c r="M26" s="4"/>
      <c r="N26" s="4"/>
    </row>
    <row r="27" spans="1:14" ht="15.75" thickBot="1" x14ac:dyDescent="0.3">
      <c r="A27" s="20">
        <v>18</v>
      </c>
      <c r="B27" s="17"/>
      <c r="C27" s="181"/>
      <c r="D27" s="153"/>
      <c r="E27" s="279" t="s">
        <v>189</v>
      </c>
      <c r="F27" s="280"/>
      <c r="G27" s="281"/>
      <c r="H27" s="10"/>
      <c r="I27" s="168"/>
      <c r="J27" s="4"/>
      <c r="K27" s="4"/>
      <c r="L27" s="4"/>
      <c r="M27" s="4"/>
      <c r="N27" s="4"/>
    </row>
    <row r="28" spans="1:14" ht="15.75" thickBot="1" x14ac:dyDescent="0.3">
      <c r="A28" s="282" t="s">
        <v>38</v>
      </c>
      <c r="B28" s="283"/>
      <c r="C28" s="26"/>
      <c r="D28" s="185">
        <f>SUM(C17:C27)</f>
        <v>100000</v>
      </c>
      <c r="E28" s="13" t="s">
        <v>4</v>
      </c>
      <c r="F28" s="13">
        <v>19</v>
      </c>
      <c r="G28" s="12" t="s">
        <v>39</v>
      </c>
      <c r="H28" s="11"/>
      <c r="I28" s="158"/>
      <c r="J28" s="18"/>
      <c r="K28" s="18"/>
      <c r="L28" s="18"/>
      <c r="M28" s="18"/>
      <c r="N28" s="18"/>
    </row>
    <row r="29" spans="1:14" x14ac:dyDescent="0.25">
      <c r="A29" s="279" t="s">
        <v>189</v>
      </c>
      <c r="B29" s="281"/>
      <c r="C29" s="10"/>
      <c r="D29" s="146"/>
      <c r="E29" s="13" t="s">
        <v>4</v>
      </c>
      <c r="F29" s="13">
        <v>21</v>
      </c>
      <c r="G29" s="12" t="s">
        <v>40</v>
      </c>
      <c r="H29" s="11">
        <v>2750</v>
      </c>
      <c r="I29" s="151"/>
      <c r="J29" s="4"/>
      <c r="K29" s="4"/>
      <c r="L29" s="4"/>
      <c r="M29" s="4"/>
      <c r="N29" s="4"/>
    </row>
    <row r="30" spans="1:14" ht="15.75" thickBot="1" x14ac:dyDescent="0.3">
      <c r="A30" s="30">
        <v>19</v>
      </c>
      <c r="B30" s="12" t="s">
        <v>15</v>
      </c>
      <c r="C30" s="178">
        <v>0</v>
      </c>
      <c r="D30" s="147"/>
      <c r="E30" s="32" t="s">
        <v>4</v>
      </c>
      <c r="F30" s="32">
        <v>22</v>
      </c>
      <c r="G30" s="17" t="s">
        <v>18</v>
      </c>
      <c r="H30" s="16">
        <v>300</v>
      </c>
      <c r="I30" s="156"/>
      <c r="J30" s="4"/>
      <c r="K30" s="4"/>
      <c r="L30" s="4"/>
      <c r="M30" s="4"/>
      <c r="N30" s="4"/>
    </row>
    <row r="31" spans="1:14" ht="16.5" thickTop="1" thickBot="1" x14ac:dyDescent="0.3">
      <c r="A31" s="282" t="s">
        <v>191</v>
      </c>
      <c r="B31" s="283"/>
      <c r="C31" s="26"/>
      <c r="D31" s="157">
        <f>SUM(C30)</f>
        <v>0</v>
      </c>
      <c r="E31" s="284" t="s">
        <v>190</v>
      </c>
      <c r="F31" s="285"/>
      <c r="G31" s="285"/>
      <c r="H31" s="26"/>
      <c r="I31" s="149">
        <f>SUM(H28:H30)</f>
        <v>3050</v>
      </c>
      <c r="J31" s="4"/>
      <c r="K31" s="4"/>
      <c r="L31" s="4"/>
      <c r="M31" s="4"/>
      <c r="N31" s="4"/>
    </row>
    <row r="32" spans="1:14" ht="15.75" thickTop="1" x14ac:dyDescent="0.25">
      <c r="A32" s="279" t="s">
        <v>41</v>
      </c>
      <c r="B32" s="281"/>
      <c r="C32" s="10"/>
      <c r="D32" s="146"/>
      <c r="E32" s="286" t="s">
        <v>42</v>
      </c>
      <c r="F32" s="287"/>
      <c r="G32" s="288"/>
      <c r="H32" s="10"/>
      <c r="I32" s="158"/>
      <c r="J32" s="4"/>
      <c r="K32" s="4"/>
      <c r="L32" s="4"/>
      <c r="M32" s="4"/>
      <c r="N32" s="4"/>
    </row>
    <row r="33" spans="1:14" ht="15.75" thickBot="1" x14ac:dyDescent="0.3">
      <c r="A33" s="33">
        <v>20</v>
      </c>
      <c r="B33" s="12" t="s">
        <v>15</v>
      </c>
      <c r="C33" s="175">
        <v>0</v>
      </c>
      <c r="D33" s="147"/>
      <c r="E33" s="13" t="s">
        <v>4</v>
      </c>
      <c r="F33" s="13">
        <v>23</v>
      </c>
      <c r="G33" s="12" t="s">
        <v>39</v>
      </c>
      <c r="H33" s="14"/>
      <c r="I33" s="151"/>
      <c r="J33" s="4"/>
      <c r="K33" s="4"/>
      <c r="L33" s="4"/>
      <c r="M33" s="4"/>
      <c r="N33" s="4"/>
    </row>
    <row r="34" spans="1:14" ht="15.75" thickBot="1" x14ac:dyDescent="0.3">
      <c r="A34" s="282" t="s">
        <v>43</v>
      </c>
      <c r="B34" s="283"/>
      <c r="C34" s="26"/>
      <c r="D34" s="149">
        <f>C33</f>
        <v>0</v>
      </c>
      <c r="E34" s="32" t="s">
        <v>4</v>
      </c>
      <c r="F34" s="32">
        <v>25</v>
      </c>
      <c r="G34" s="17" t="s">
        <v>40</v>
      </c>
      <c r="H34" s="16">
        <v>2750</v>
      </c>
      <c r="I34" s="156"/>
      <c r="J34" s="18"/>
      <c r="K34" s="18"/>
      <c r="L34" s="18"/>
      <c r="M34" s="18"/>
      <c r="N34" s="18"/>
    </row>
    <row r="35" spans="1:14" ht="15.75" thickBot="1" x14ac:dyDescent="0.3">
      <c r="A35" s="279" t="s">
        <v>44</v>
      </c>
      <c r="B35" s="281"/>
      <c r="C35" s="176"/>
      <c r="D35" s="158"/>
      <c r="E35" s="32" t="s">
        <v>4</v>
      </c>
      <c r="F35" s="32">
        <v>26</v>
      </c>
      <c r="G35" s="17" t="s">
        <v>18</v>
      </c>
      <c r="H35" s="16">
        <v>300</v>
      </c>
      <c r="I35" s="156"/>
      <c r="J35" s="4"/>
      <c r="K35" s="4"/>
      <c r="L35" s="4"/>
      <c r="M35" s="4"/>
      <c r="N35" s="4"/>
    </row>
    <row r="36" spans="1:14" ht="15.75" thickBot="1" x14ac:dyDescent="0.3">
      <c r="A36" s="33">
        <v>21</v>
      </c>
      <c r="B36" s="12" t="s">
        <v>15</v>
      </c>
      <c r="C36" s="175">
        <v>0</v>
      </c>
      <c r="D36" s="151"/>
      <c r="E36" s="282" t="s">
        <v>45</v>
      </c>
      <c r="F36" s="283"/>
      <c r="G36" s="283"/>
      <c r="H36" s="26"/>
      <c r="I36" s="149">
        <f>SUM(H33:H35)</f>
        <v>3050</v>
      </c>
      <c r="J36" s="4"/>
      <c r="K36" s="4"/>
      <c r="L36" s="4"/>
      <c r="M36" s="4"/>
      <c r="N36" s="4"/>
    </row>
    <row r="37" spans="1:14" x14ac:dyDescent="0.25">
      <c r="A37" s="33">
        <v>22</v>
      </c>
      <c r="B37" s="12" t="s">
        <v>46</v>
      </c>
      <c r="C37" s="175">
        <v>0</v>
      </c>
      <c r="D37" s="151"/>
      <c r="E37" s="279" t="s">
        <v>44</v>
      </c>
      <c r="F37" s="280"/>
      <c r="G37" s="281"/>
      <c r="H37" s="10"/>
      <c r="I37" s="158"/>
      <c r="J37" s="4"/>
      <c r="K37" s="4"/>
      <c r="L37" s="4"/>
      <c r="M37" s="4"/>
      <c r="N37" s="4"/>
    </row>
    <row r="38" spans="1:14" x14ac:dyDescent="0.25">
      <c r="A38" s="33">
        <v>23</v>
      </c>
      <c r="B38" s="12" t="s">
        <v>47</v>
      </c>
      <c r="C38" s="175">
        <v>0</v>
      </c>
      <c r="D38" s="151"/>
      <c r="E38" s="13" t="s">
        <v>4</v>
      </c>
      <c r="F38" s="13">
        <v>27</v>
      </c>
      <c r="G38" s="12" t="s">
        <v>39</v>
      </c>
      <c r="H38" s="11">
        <v>20000</v>
      </c>
      <c r="I38" s="151"/>
      <c r="J38" s="4"/>
      <c r="K38" s="4" t="s">
        <v>216</v>
      </c>
      <c r="L38" s="4"/>
      <c r="M38" s="4"/>
      <c r="N38" s="4"/>
    </row>
    <row r="39" spans="1:14" x14ac:dyDescent="0.25">
      <c r="A39" s="33">
        <v>24</v>
      </c>
      <c r="B39" s="12" t="s">
        <v>48</v>
      </c>
      <c r="C39" s="175">
        <v>0</v>
      </c>
      <c r="D39" s="151"/>
      <c r="E39" s="13" t="s">
        <v>4</v>
      </c>
      <c r="F39" s="13">
        <v>29</v>
      </c>
      <c r="G39" s="12" t="s">
        <v>40</v>
      </c>
      <c r="H39" s="11">
        <v>2750</v>
      </c>
      <c r="I39" s="151"/>
      <c r="J39" s="4"/>
      <c r="K39" s="4" t="s">
        <v>217</v>
      </c>
      <c r="L39" s="4"/>
      <c r="M39" s="4"/>
      <c r="N39" s="4"/>
    </row>
    <row r="40" spans="1:14" x14ac:dyDescent="0.25">
      <c r="A40" s="33">
        <v>25</v>
      </c>
      <c r="B40" s="12" t="s">
        <v>49</v>
      </c>
      <c r="C40" s="175">
        <v>0</v>
      </c>
      <c r="D40" s="151"/>
      <c r="E40" s="13" t="s">
        <v>4</v>
      </c>
      <c r="F40" s="13">
        <v>30</v>
      </c>
      <c r="G40" s="12" t="s">
        <v>18</v>
      </c>
      <c r="H40" s="11">
        <v>300</v>
      </c>
      <c r="I40" s="151"/>
      <c r="J40" s="4"/>
      <c r="K40" s="4"/>
      <c r="L40" s="4"/>
      <c r="M40" s="4"/>
      <c r="N40" s="4"/>
    </row>
    <row r="41" spans="1:14" x14ac:dyDescent="0.25">
      <c r="A41" s="33">
        <v>26</v>
      </c>
      <c r="B41" s="12" t="s">
        <v>50</v>
      </c>
      <c r="C41" s="175">
        <v>0</v>
      </c>
      <c r="D41" s="151"/>
      <c r="E41" s="13" t="s">
        <v>4</v>
      </c>
      <c r="F41" s="13">
        <v>31</v>
      </c>
      <c r="G41" s="12" t="s">
        <v>47</v>
      </c>
      <c r="H41" s="14"/>
      <c r="I41" s="151"/>
      <c r="J41" s="4"/>
      <c r="K41" s="4"/>
      <c r="L41" s="4"/>
      <c r="M41" s="4"/>
      <c r="N41" s="4"/>
    </row>
    <row r="42" spans="1:14" x14ac:dyDescent="0.25">
      <c r="A42" s="33">
        <v>27</v>
      </c>
      <c r="B42" s="12" t="s">
        <v>51</v>
      </c>
      <c r="C42" s="175">
        <v>0</v>
      </c>
      <c r="D42" s="147"/>
      <c r="E42" s="13" t="s">
        <v>4</v>
      </c>
      <c r="F42" s="13">
        <v>33</v>
      </c>
      <c r="G42" s="12" t="s">
        <v>49</v>
      </c>
      <c r="H42" s="14"/>
      <c r="I42" s="151"/>
      <c r="J42" s="4"/>
      <c r="K42" s="4"/>
      <c r="L42" s="4"/>
      <c r="M42" s="4"/>
      <c r="N42" s="4"/>
    </row>
    <row r="43" spans="1:14" x14ac:dyDescent="0.25">
      <c r="A43" s="33">
        <v>28</v>
      </c>
      <c r="B43" s="12" t="s">
        <v>52</v>
      </c>
      <c r="C43" s="175">
        <v>0</v>
      </c>
      <c r="D43" s="147"/>
      <c r="E43" s="13"/>
      <c r="F43" s="13"/>
      <c r="G43" s="12" t="s">
        <v>48</v>
      </c>
      <c r="H43" s="11"/>
      <c r="I43" s="151"/>
      <c r="J43" s="4"/>
      <c r="K43" s="4"/>
      <c r="L43" s="4"/>
      <c r="M43" s="4"/>
      <c r="N43" s="4"/>
    </row>
    <row r="44" spans="1:14" ht="15.75" thickBot="1" x14ac:dyDescent="0.3">
      <c r="A44" s="33">
        <v>29</v>
      </c>
      <c r="B44" s="12" t="s">
        <v>53</v>
      </c>
      <c r="C44" s="175">
        <v>0</v>
      </c>
      <c r="D44" s="147"/>
      <c r="E44" s="34" t="s">
        <v>4</v>
      </c>
      <c r="F44" s="35">
        <v>37</v>
      </c>
      <c r="G44" s="36" t="s">
        <v>54</v>
      </c>
      <c r="H44" s="239">
        <f>C44</f>
        <v>0</v>
      </c>
      <c r="I44" s="169"/>
      <c r="J44" s="4"/>
      <c r="K44" s="4"/>
      <c r="L44" s="4"/>
      <c r="M44" s="4"/>
      <c r="N44" s="4"/>
    </row>
    <row r="45" spans="1:14" ht="16.5" thickTop="1" thickBot="1" x14ac:dyDescent="0.3">
      <c r="A45" s="37">
        <v>30</v>
      </c>
      <c r="B45" s="36" t="s">
        <v>55</v>
      </c>
      <c r="C45" s="175">
        <v>0</v>
      </c>
      <c r="D45" s="159"/>
      <c r="E45" s="273" t="s">
        <v>56</v>
      </c>
      <c r="F45" s="274"/>
      <c r="G45" s="274"/>
      <c r="H45" s="38"/>
      <c r="I45" s="170">
        <f>SUM(H38:H44)</f>
        <v>23050</v>
      </c>
      <c r="J45" s="4"/>
      <c r="K45" s="4"/>
      <c r="L45" s="4"/>
      <c r="M45" s="4"/>
      <c r="N45" s="4"/>
    </row>
    <row r="46" spans="1:14" ht="16.5" thickTop="1" thickBot="1" x14ac:dyDescent="0.3">
      <c r="A46" s="275" t="s">
        <v>57</v>
      </c>
      <c r="B46" s="276"/>
      <c r="C46" s="39"/>
      <c r="D46" s="160">
        <f>SUM(C35:C45)</f>
        <v>0</v>
      </c>
      <c r="E46" s="261" t="s">
        <v>58</v>
      </c>
      <c r="F46" s="262"/>
      <c r="G46" s="262"/>
      <c r="H46" s="40"/>
      <c r="I46" s="171">
        <f>I45+I36+I31+I26+I15</f>
        <v>754283</v>
      </c>
      <c r="J46" s="4"/>
      <c r="K46" s="4"/>
      <c r="L46" s="4"/>
      <c r="M46" s="4"/>
      <c r="N46" s="4"/>
    </row>
    <row r="47" spans="1:14" ht="15.75" thickBot="1" x14ac:dyDescent="0.3">
      <c r="A47" s="186" t="s">
        <v>59</v>
      </c>
      <c r="B47" s="187"/>
      <c r="C47" s="41"/>
      <c r="D47" s="161">
        <f>D46+D34+D31+D28+D15+C13+C14</f>
        <v>100000</v>
      </c>
      <c r="E47" s="42" t="s">
        <v>60</v>
      </c>
      <c r="F47" s="43"/>
      <c r="G47" s="44"/>
      <c r="H47" s="232">
        <f>'DESGLOSE SALDOS'!G21</f>
        <v>2236439</v>
      </c>
      <c r="I47" s="168"/>
      <c r="J47" s="4"/>
      <c r="K47" s="4"/>
      <c r="L47" s="4"/>
      <c r="M47" s="4"/>
      <c r="N47" s="4"/>
    </row>
    <row r="48" spans="1:14" ht="15.75" thickTop="1" x14ac:dyDescent="0.25">
      <c r="A48" s="277" t="s">
        <v>61</v>
      </c>
      <c r="B48" s="278"/>
      <c r="C48" s="176">
        <f>D9</f>
        <v>4581233</v>
      </c>
      <c r="D48" s="146"/>
      <c r="E48" s="265" t="s">
        <v>62</v>
      </c>
      <c r="F48" s="266"/>
      <c r="G48" s="267"/>
      <c r="H48" s="11">
        <f>IGLESIA!J40</f>
        <v>1014263</v>
      </c>
      <c r="I48" s="151"/>
      <c r="J48" s="4"/>
      <c r="K48" s="4"/>
      <c r="L48" s="4"/>
      <c r="M48" s="4"/>
      <c r="N48" s="4"/>
    </row>
    <row r="49" spans="1:14" x14ac:dyDescent="0.25">
      <c r="A49" s="263" t="s">
        <v>63</v>
      </c>
      <c r="B49" s="264"/>
      <c r="C49" s="175">
        <f>D47</f>
        <v>100000</v>
      </c>
      <c r="D49" s="147"/>
      <c r="E49" s="265" t="s">
        <v>160</v>
      </c>
      <c r="F49" s="266"/>
      <c r="G49" s="267"/>
      <c r="H49" s="233">
        <f>C6+D31-I31</f>
        <v>268583</v>
      </c>
      <c r="I49" s="151"/>
      <c r="J49" s="18"/>
      <c r="K49" s="18"/>
      <c r="L49" s="18"/>
      <c r="M49" s="18"/>
      <c r="N49" s="18"/>
    </row>
    <row r="50" spans="1:14" x14ac:dyDescent="0.25">
      <c r="A50" s="263" t="s">
        <v>64</v>
      </c>
      <c r="B50" s="264"/>
      <c r="C50" s="175">
        <f>SUM(C48:C49)</f>
        <v>4681233</v>
      </c>
      <c r="D50" s="147"/>
      <c r="E50" s="265" t="s">
        <v>7</v>
      </c>
      <c r="F50" s="266"/>
      <c r="G50" s="267"/>
      <c r="H50" s="233">
        <f>C7+D34-I36</f>
        <v>29719</v>
      </c>
      <c r="I50" s="151"/>
      <c r="J50" s="4"/>
      <c r="K50" s="92"/>
      <c r="L50" s="4"/>
      <c r="M50" s="4"/>
      <c r="N50" s="4"/>
    </row>
    <row r="51" spans="1:14" ht="15.75" thickBot="1" x14ac:dyDescent="0.3">
      <c r="A51" s="268" t="s">
        <v>65</v>
      </c>
      <c r="B51" s="269"/>
      <c r="C51" s="178">
        <f>I46</f>
        <v>754283</v>
      </c>
      <c r="D51" s="148"/>
      <c r="E51" s="270" t="s">
        <v>9</v>
      </c>
      <c r="F51" s="271"/>
      <c r="G51" s="272"/>
      <c r="H51" s="234">
        <f>C8+D46-I45</f>
        <v>277946</v>
      </c>
      <c r="I51" s="156"/>
      <c r="J51" s="4"/>
      <c r="K51" s="4"/>
      <c r="L51" s="4"/>
      <c r="M51" s="4"/>
      <c r="N51" s="4"/>
    </row>
    <row r="52" spans="1:14" ht="16.5" thickTop="1" thickBot="1" x14ac:dyDescent="0.3">
      <c r="A52" s="261" t="s">
        <v>66</v>
      </c>
      <c r="B52" s="262"/>
      <c r="C52" s="45"/>
      <c r="D52" s="240">
        <f>C50-C51</f>
        <v>3926950</v>
      </c>
      <c r="E52" s="261" t="s">
        <v>67</v>
      </c>
      <c r="F52" s="262"/>
      <c r="G52" s="262"/>
      <c r="H52" s="45"/>
      <c r="I52" s="170">
        <f>SUM(H47:H51)</f>
        <v>3826950</v>
      </c>
      <c r="J52" s="4"/>
      <c r="K52" s="4"/>
      <c r="L52" s="4"/>
      <c r="M52" s="4"/>
      <c r="N52" s="4"/>
    </row>
    <row r="53" spans="1:14" ht="16.5" thickTop="1" x14ac:dyDescent="0.25">
      <c r="A53" s="46"/>
      <c r="B53" s="47" t="s">
        <v>202</v>
      </c>
      <c r="C53" s="48"/>
      <c r="D53" s="162"/>
      <c r="E53" s="46"/>
      <c r="F53" s="46"/>
      <c r="G53" s="46"/>
      <c r="H53" s="46"/>
      <c r="I53" s="162"/>
      <c r="J53" s="4"/>
      <c r="K53" s="4"/>
      <c r="L53" s="4"/>
      <c r="M53" s="4"/>
      <c r="N53" s="4"/>
    </row>
    <row r="54" spans="1:14" x14ac:dyDescent="0.25">
      <c r="A54" s="49"/>
      <c r="B54" s="49"/>
      <c r="C54" s="49"/>
      <c r="D54" s="163"/>
      <c r="E54" s="49"/>
      <c r="F54" s="49"/>
      <c r="G54" s="49"/>
      <c r="H54" s="49"/>
      <c r="I54" s="163"/>
      <c r="J54" s="4"/>
      <c r="K54" s="4"/>
      <c r="L54" s="4"/>
      <c r="M54" s="4"/>
      <c r="N54" s="4"/>
    </row>
    <row r="55" spans="1:14" x14ac:dyDescent="0.25">
      <c r="A55" s="260"/>
      <c r="B55" s="260"/>
      <c r="C55" s="4"/>
      <c r="D55" s="99"/>
      <c r="E55" s="260"/>
      <c r="F55" s="260"/>
      <c r="G55" s="260"/>
      <c r="H55" s="4"/>
      <c r="I55" s="99"/>
      <c r="J55" s="4"/>
      <c r="K55" s="4"/>
      <c r="L55" s="4"/>
      <c r="M55" s="4"/>
      <c r="N55" s="4"/>
    </row>
    <row r="56" spans="1:14" x14ac:dyDescent="0.25">
      <c r="A56" s="260"/>
      <c r="B56" s="260"/>
      <c r="C56" s="4"/>
      <c r="D56" s="99"/>
      <c r="E56" s="260"/>
      <c r="F56" s="260"/>
      <c r="G56" s="260"/>
      <c r="H56" s="4"/>
      <c r="I56" s="99"/>
      <c r="J56" s="4"/>
      <c r="K56" s="4"/>
      <c r="L56" s="4"/>
      <c r="M56" s="4"/>
      <c r="N56" s="4"/>
    </row>
    <row r="57" spans="1:14" x14ac:dyDescent="0.25">
      <c r="A57" s="260"/>
      <c r="B57" s="260"/>
      <c r="C57" s="4"/>
      <c r="D57" s="99"/>
      <c r="E57" s="260"/>
      <c r="F57" s="260"/>
      <c r="G57" s="260"/>
      <c r="H57" s="4"/>
      <c r="I57" s="99"/>
      <c r="J57" s="4"/>
      <c r="K57" s="4"/>
      <c r="L57" s="4"/>
      <c r="M57" s="4"/>
      <c r="N57" s="4"/>
    </row>
  </sheetData>
  <mergeCells count="43">
    <mergeCell ref="A1:I1"/>
    <mergeCell ref="A3:D3"/>
    <mergeCell ref="E3:I3"/>
    <mergeCell ref="A4:B4"/>
    <mergeCell ref="E4:G4"/>
    <mergeCell ref="E16:F16"/>
    <mergeCell ref="A5:B5"/>
    <mergeCell ref="A6:B6"/>
    <mergeCell ref="A7:B7"/>
    <mergeCell ref="A8:B8"/>
    <mergeCell ref="A9:B9"/>
    <mergeCell ref="A10:B10"/>
    <mergeCell ref="E37:G37"/>
    <mergeCell ref="E26:G26"/>
    <mergeCell ref="E27:G27"/>
    <mergeCell ref="A28:B28"/>
    <mergeCell ref="A29:B29"/>
    <mergeCell ref="A31:B31"/>
    <mergeCell ref="E31:G31"/>
    <mergeCell ref="A32:B32"/>
    <mergeCell ref="E32:G32"/>
    <mergeCell ref="A34:B34"/>
    <mergeCell ref="A35:B35"/>
    <mergeCell ref="E36:G36"/>
    <mergeCell ref="E45:G45"/>
    <mergeCell ref="A46:B46"/>
    <mergeCell ref="E46:G46"/>
    <mergeCell ref="A48:B48"/>
    <mergeCell ref="E48:G48"/>
    <mergeCell ref="A49:B49"/>
    <mergeCell ref="E49:G49"/>
    <mergeCell ref="A50:B50"/>
    <mergeCell ref="E50:G50"/>
    <mergeCell ref="A51:B51"/>
    <mergeCell ref="E51:G51"/>
    <mergeCell ref="A57:B57"/>
    <mergeCell ref="E57:G57"/>
    <mergeCell ref="A52:B52"/>
    <mergeCell ref="E52:G52"/>
    <mergeCell ref="A55:B55"/>
    <mergeCell ref="E55:G55"/>
    <mergeCell ref="A56:B56"/>
    <mergeCell ref="E56:G5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6BB5-D33C-41EE-BF35-F32AD7443D95}">
  <dimension ref="A1:N43"/>
  <sheetViews>
    <sheetView showGridLines="0" tabSelected="1" topLeftCell="A11" workbookViewId="0">
      <selection activeCell="N26" sqref="N26"/>
    </sheetView>
  </sheetViews>
  <sheetFormatPr baseColWidth="10" defaultRowHeight="15" x14ac:dyDescent="0.25"/>
  <sheetData>
    <row r="1" spans="1:13" ht="16.5" thickBot="1" x14ac:dyDescent="0.3">
      <c r="A1" s="315" t="s">
        <v>68</v>
      </c>
      <c r="B1" s="315"/>
      <c r="C1" s="315"/>
      <c r="D1" s="315"/>
      <c r="E1" s="315"/>
      <c r="F1" s="315"/>
      <c r="G1" s="315"/>
      <c r="H1" s="315"/>
      <c r="I1" s="315"/>
      <c r="J1" s="315"/>
      <c r="K1" s="53"/>
      <c r="L1" s="53"/>
      <c r="M1" s="53"/>
    </row>
    <row r="2" spans="1:13" ht="16.5" thickBot="1" x14ac:dyDescent="0.3">
      <c r="A2" s="316" t="s">
        <v>69</v>
      </c>
      <c r="B2" s="317"/>
      <c r="C2" s="317"/>
      <c r="D2" s="317"/>
      <c r="E2" s="319" t="s">
        <v>205</v>
      </c>
      <c r="F2" s="319"/>
      <c r="G2" s="318">
        <v>2025</v>
      </c>
      <c r="H2" s="318"/>
      <c r="I2" s="55"/>
      <c r="J2" s="56"/>
      <c r="K2" s="54"/>
      <c r="L2" s="54"/>
      <c r="M2" s="54"/>
    </row>
    <row r="3" spans="1:13" ht="16.5" thickBot="1" x14ac:dyDescent="0.3">
      <c r="A3" s="58"/>
      <c r="B3" s="59" t="s">
        <v>70</v>
      </c>
      <c r="C3" s="303"/>
      <c r="D3" s="303"/>
      <c r="E3" s="303"/>
      <c r="F3" s="303"/>
      <c r="G3" s="303"/>
      <c r="H3" s="303"/>
      <c r="I3" s="60"/>
      <c r="J3" s="61"/>
      <c r="K3" s="54"/>
      <c r="L3" s="54"/>
      <c r="M3" s="54"/>
    </row>
    <row r="4" spans="1:13" ht="16.5" thickBot="1" x14ac:dyDescent="0.3">
      <c r="A4" s="62"/>
      <c r="B4" s="57" t="s">
        <v>71</v>
      </c>
      <c r="C4" s="303"/>
      <c r="D4" s="303"/>
      <c r="E4" s="303"/>
      <c r="F4" s="303"/>
      <c r="G4" s="303"/>
      <c r="H4" s="303"/>
      <c r="I4" s="63" t="s">
        <v>72</v>
      </c>
      <c r="J4" s="237">
        <f>'INF. DISTRITAL'!C5</f>
        <v>1739396</v>
      </c>
      <c r="K4" s="54"/>
      <c r="L4" s="54"/>
      <c r="M4" s="54"/>
    </row>
    <row r="5" spans="1:13" ht="16.5" thickBot="1" x14ac:dyDescent="0.3">
      <c r="A5" s="58"/>
      <c r="B5" s="59" t="s">
        <v>73</v>
      </c>
      <c r="C5" s="303"/>
      <c r="D5" s="303"/>
      <c r="E5" s="303"/>
      <c r="F5" s="303"/>
      <c r="G5" s="303"/>
      <c r="H5" s="303"/>
      <c r="I5" s="60"/>
      <c r="J5" s="64"/>
      <c r="K5" s="54"/>
      <c r="L5" s="54"/>
      <c r="M5" s="54"/>
    </row>
    <row r="6" spans="1:13" ht="15.75" x14ac:dyDescent="0.25">
      <c r="A6" s="65"/>
      <c r="B6" s="66" t="s">
        <v>15</v>
      </c>
      <c r="C6" s="310"/>
      <c r="D6" s="310"/>
      <c r="E6" s="310"/>
      <c r="F6" s="310"/>
      <c r="G6" s="67" t="s">
        <v>72</v>
      </c>
      <c r="H6" s="238">
        <f>'INF. DISTRITAL'!C11</f>
        <v>0</v>
      </c>
      <c r="I6" s="68"/>
      <c r="J6" s="69"/>
      <c r="K6" s="53"/>
      <c r="L6" s="53"/>
      <c r="M6" s="53"/>
    </row>
    <row r="7" spans="1:13" ht="15.75" x14ac:dyDescent="0.25">
      <c r="A7" s="70"/>
      <c r="B7" s="4" t="s">
        <v>17</v>
      </c>
      <c r="C7" s="306"/>
      <c r="D7" s="306"/>
      <c r="E7" s="306"/>
      <c r="F7" s="306"/>
      <c r="G7" s="57" t="s">
        <v>72</v>
      </c>
      <c r="H7" s="233">
        <f>'INF. DISTRITAL'!C12</f>
        <v>0</v>
      </c>
      <c r="I7" s="71"/>
      <c r="J7" s="72"/>
      <c r="K7" s="53"/>
      <c r="L7" s="53"/>
      <c r="M7" s="53"/>
    </row>
    <row r="8" spans="1:13" ht="15.75" x14ac:dyDescent="0.25">
      <c r="A8" s="73"/>
      <c r="B8" s="74" t="s">
        <v>19</v>
      </c>
      <c r="C8" s="306"/>
      <c r="D8" s="306"/>
      <c r="E8" s="306"/>
      <c r="F8" s="306"/>
      <c r="G8" s="76" t="s">
        <v>72</v>
      </c>
      <c r="H8" s="233">
        <f>'INF. DISTRITAL'!C13</f>
        <v>0</v>
      </c>
      <c r="I8" s="77"/>
      <c r="J8" s="78"/>
      <c r="K8" s="53"/>
      <c r="L8" s="53"/>
      <c r="M8" s="53"/>
    </row>
    <row r="9" spans="1:13" ht="16.5" thickBot="1" x14ac:dyDescent="0.3">
      <c r="A9" s="313"/>
      <c r="B9" s="314"/>
      <c r="C9" s="314"/>
      <c r="D9" s="314"/>
      <c r="E9" s="314"/>
      <c r="F9" s="314"/>
      <c r="G9" s="57" t="s">
        <v>72</v>
      </c>
      <c r="H9" s="24"/>
      <c r="I9" s="71"/>
      <c r="J9" s="254">
        <f>SUM(H6:H7)</f>
        <v>0</v>
      </c>
      <c r="K9" s="53"/>
      <c r="L9" s="53"/>
      <c r="M9" s="53"/>
    </row>
    <row r="10" spans="1:13" ht="16.5" thickBot="1" x14ac:dyDescent="0.3">
      <c r="A10" s="79"/>
      <c r="B10" s="80" t="s">
        <v>74</v>
      </c>
      <c r="C10" s="59"/>
      <c r="D10" s="59"/>
      <c r="E10" s="303"/>
      <c r="F10" s="303"/>
      <c r="G10" s="303"/>
      <c r="H10" s="303"/>
      <c r="I10" s="81"/>
      <c r="J10" s="246">
        <f>SUM(H6:H9)</f>
        <v>0</v>
      </c>
      <c r="K10" s="53"/>
      <c r="L10" s="53"/>
      <c r="M10" s="53"/>
    </row>
    <row r="11" spans="1:13" ht="16.5" thickBot="1" x14ac:dyDescent="0.3">
      <c r="A11" s="58"/>
      <c r="B11" s="59" t="s">
        <v>75</v>
      </c>
      <c r="C11" s="59"/>
      <c r="D11" s="59"/>
      <c r="E11" s="303"/>
      <c r="F11" s="303"/>
      <c r="G11" s="303"/>
      <c r="H11" s="303"/>
      <c r="I11" s="82"/>
      <c r="J11" s="247">
        <f>J4+J10</f>
        <v>1739396</v>
      </c>
      <c r="K11" s="53"/>
      <c r="L11" s="53"/>
      <c r="M11" s="53"/>
    </row>
    <row r="12" spans="1:13" ht="16.5" thickBot="1" x14ac:dyDescent="0.3">
      <c r="A12" s="83"/>
      <c r="B12" s="59" t="s">
        <v>76</v>
      </c>
      <c r="C12" s="107"/>
      <c r="D12" s="107"/>
      <c r="E12" s="311"/>
      <c r="F12" s="311"/>
      <c r="G12" s="312"/>
      <c r="H12" s="312"/>
      <c r="I12" s="82"/>
      <c r="J12" s="6"/>
      <c r="K12" s="53"/>
      <c r="L12" s="53"/>
      <c r="M12" s="53"/>
    </row>
    <row r="13" spans="1:13" ht="15.75" x14ac:dyDescent="0.25">
      <c r="A13" s="70"/>
      <c r="B13" s="84" t="s">
        <v>77</v>
      </c>
      <c r="C13" s="172"/>
      <c r="D13" s="173"/>
      <c r="E13" s="310"/>
      <c r="F13" s="310"/>
      <c r="G13" s="57" t="s">
        <v>72</v>
      </c>
      <c r="H13" s="244">
        <v>550000</v>
      </c>
      <c r="I13" s="71"/>
      <c r="J13" s="72"/>
      <c r="K13" s="53"/>
      <c r="L13" s="53"/>
      <c r="M13" s="53"/>
    </row>
    <row r="14" spans="1:13" ht="15.75" x14ac:dyDescent="0.25">
      <c r="A14" s="73"/>
      <c r="B14" s="84" t="s">
        <v>201</v>
      </c>
      <c r="C14" s="86"/>
      <c r="D14" s="75"/>
      <c r="E14" s="306"/>
      <c r="F14" s="306"/>
      <c r="G14" s="87" t="s">
        <v>72</v>
      </c>
      <c r="H14" s="244">
        <v>45833</v>
      </c>
      <c r="I14" s="77"/>
      <c r="J14" s="78"/>
      <c r="K14" s="53"/>
      <c r="L14" s="53"/>
      <c r="M14" s="53"/>
    </row>
    <row r="15" spans="1:13" ht="15.75" x14ac:dyDescent="0.25">
      <c r="A15" s="70"/>
      <c r="B15" s="84" t="s">
        <v>82</v>
      </c>
      <c r="C15" s="86"/>
      <c r="D15" s="2"/>
      <c r="E15" s="306"/>
      <c r="F15" s="306"/>
      <c r="G15" s="57" t="s">
        <v>72</v>
      </c>
      <c r="H15" s="244"/>
      <c r="I15" s="71"/>
      <c r="J15" s="72"/>
      <c r="K15" s="53"/>
      <c r="L15" s="53"/>
      <c r="M15" s="53"/>
    </row>
    <row r="16" spans="1:13" ht="15.75" x14ac:dyDescent="0.25">
      <c r="A16" s="73"/>
      <c r="B16" s="84" t="s">
        <v>84</v>
      </c>
      <c r="C16" s="86"/>
      <c r="D16" s="75"/>
      <c r="E16" s="306"/>
      <c r="F16" s="306"/>
      <c r="G16" s="76" t="s">
        <v>72</v>
      </c>
      <c r="H16" s="244"/>
      <c r="I16" s="77"/>
      <c r="J16" s="78"/>
      <c r="K16" s="53"/>
      <c r="L16" s="53"/>
      <c r="M16" s="53"/>
    </row>
    <row r="17" spans="1:14" ht="15.75" x14ac:dyDescent="0.25">
      <c r="A17" s="70"/>
      <c r="B17" s="84" t="s">
        <v>210</v>
      </c>
      <c r="C17" s="86"/>
      <c r="D17" s="2"/>
      <c r="E17" s="306"/>
      <c r="F17" s="306"/>
      <c r="G17" s="57" t="s">
        <v>72</v>
      </c>
      <c r="H17" s="244"/>
      <c r="I17" s="71"/>
      <c r="J17" s="88"/>
      <c r="K17" s="53"/>
      <c r="L17" s="53"/>
      <c r="M17" s="53"/>
    </row>
    <row r="18" spans="1:14" ht="15.75" x14ac:dyDescent="0.25">
      <c r="A18" s="73"/>
      <c r="B18" s="256" t="s">
        <v>211</v>
      </c>
      <c r="C18" s="255"/>
      <c r="D18" s="75"/>
      <c r="E18" s="306"/>
      <c r="F18" s="306"/>
      <c r="G18" s="76" t="s">
        <v>72</v>
      </c>
      <c r="H18" s="244"/>
      <c r="I18" s="77"/>
      <c r="J18" s="78"/>
      <c r="K18" s="53"/>
      <c r="L18" s="53"/>
      <c r="M18" s="53"/>
    </row>
    <row r="19" spans="1:14" ht="15.75" x14ac:dyDescent="0.25">
      <c r="A19" s="70"/>
      <c r="B19" s="256" t="s">
        <v>212</v>
      </c>
      <c r="C19" s="255"/>
      <c r="D19" s="2"/>
      <c r="E19" s="309"/>
      <c r="F19" s="309"/>
      <c r="G19" s="57" t="s">
        <v>72</v>
      </c>
      <c r="H19" s="244">
        <v>12000</v>
      </c>
      <c r="I19" s="71"/>
      <c r="J19" s="72"/>
      <c r="K19" s="53"/>
      <c r="L19" s="53"/>
      <c r="M19" s="53"/>
    </row>
    <row r="20" spans="1:14" ht="15.75" x14ac:dyDescent="0.25">
      <c r="A20" s="70"/>
      <c r="B20" s="256"/>
      <c r="C20" s="255"/>
      <c r="D20" s="2"/>
      <c r="E20" s="307"/>
      <c r="F20" s="307"/>
      <c r="G20" s="57" t="s">
        <v>72</v>
      </c>
      <c r="H20" s="244"/>
      <c r="I20" s="71"/>
      <c r="J20" s="72"/>
      <c r="K20" s="53"/>
      <c r="L20" s="53" t="s">
        <v>218</v>
      </c>
      <c r="M20" s="53"/>
      <c r="N20" t="s">
        <v>219</v>
      </c>
    </row>
    <row r="21" spans="1:14" ht="15.75" x14ac:dyDescent="0.25">
      <c r="A21" s="70"/>
      <c r="B21" s="84" t="s">
        <v>209</v>
      </c>
      <c r="C21" s="86"/>
      <c r="D21" s="2"/>
      <c r="E21" s="308"/>
      <c r="F21" s="308"/>
      <c r="G21" s="57" t="s">
        <v>72</v>
      </c>
      <c r="H21" s="244">
        <v>60000</v>
      </c>
      <c r="I21" s="71"/>
      <c r="J21" s="72"/>
      <c r="K21" s="53"/>
      <c r="L21" s="53"/>
      <c r="M21" s="53"/>
    </row>
    <row r="22" spans="1:14" ht="15.75" x14ac:dyDescent="0.25">
      <c r="A22" s="73"/>
      <c r="B22" s="84" t="s">
        <v>214</v>
      </c>
      <c r="C22" s="86"/>
      <c r="D22" s="75"/>
      <c r="E22" s="306"/>
      <c r="F22" s="306"/>
      <c r="G22" s="76" t="s">
        <v>72</v>
      </c>
      <c r="H22" s="244"/>
      <c r="I22" s="77"/>
      <c r="J22" s="78"/>
      <c r="K22" s="53"/>
      <c r="L22" s="53"/>
      <c r="M22" s="53"/>
    </row>
    <row r="23" spans="1:14" ht="15.75" x14ac:dyDescent="0.25">
      <c r="A23" s="70"/>
      <c r="B23" s="89" t="s">
        <v>215</v>
      </c>
      <c r="C23" s="86"/>
      <c r="D23" s="2"/>
      <c r="E23" s="309"/>
      <c r="F23" s="309"/>
      <c r="G23" s="57" t="s">
        <v>72</v>
      </c>
      <c r="H23" s="244">
        <v>50000</v>
      </c>
      <c r="I23" s="71"/>
      <c r="J23" s="72"/>
      <c r="K23" s="53"/>
      <c r="L23" s="53"/>
      <c r="M23" s="53"/>
    </row>
    <row r="24" spans="1:14" ht="15.75" x14ac:dyDescent="0.25">
      <c r="A24" s="2"/>
      <c r="B24" s="89"/>
      <c r="C24" s="86"/>
      <c r="D24" s="2"/>
      <c r="E24" s="307"/>
      <c r="F24" s="307"/>
      <c r="G24" s="76" t="s">
        <v>72</v>
      </c>
      <c r="H24" s="244"/>
      <c r="I24" s="71"/>
      <c r="J24" s="72"/>
      <c r="K24" s="53"/>
      <c r="L24" s="53"/>
      <c r="M24" s="53"/>
    </row>
    <row r="25" spans="1:14" ht="15.75" x14ac:dyDescent="0.25">
      <c r="A25" s="2"/>
      <c r="B25" s="89" t="s">
        <v>88</v>
      </c>
      <c r="C25" s="86"/>
      <c r="D25" s="2"/>
      <c r="E25" s="307"/>
      <c r="F25" s="307"/>
      <c r="G25" s="76" t="s">
        <v>72</v>
      </c>
      <c r="H25" s="244">
        <f>J9*4%</f>
        <v>0</v>
      </c>
      <c r="I25" s="71"/>
      <c r="J25" s="72"/>
      <c r="K25" s="53"/>
      <c r="L25" s="53"/>
      <c r="M25" s="53"/>
    </row>
    <row r="26" spans="1:14" ht="15.75" x14ac:dyDescent="0.25">
      <c r="A26" s="2"/>
      <c r="B26" s="84"/>
      <c r="C26" s="86"/>
      <c r="D26" s="2"/>
      <c r="E26" s="307"/>
      <c r="F26" s="307"/>
      <c r="G26" s="76" t="s">
        <v>72</v>
      </c>
      <c r="H26" s="244"/>
      <c r="I26" s="71"/>
      <c r="J26" s="72"/>
      <c r="K26" s="53"/>
      <c r="L26" s="53"/>
      <c r="M26" s="53"/>
    </row>
    <row r="27" spans="1:14" ht="16.5" thickBot="1" x14ac:dyDescent="0.3">
      <c r="A27" s="2"/>
      <c r="B27" s="90"/>
      <c r="C27" s="86"/>
      <c r="D27" s="2"/>
      <c r="E27" s="307"/>
      <c r="F27" s="307"/>
      <c r="G27" s="76" t="s">
        <v>72</v>
      </c>
      <c r="H27" s="245"/>
      <c r="I27" s="71"/>
      <c r="J27" s="72"/>
      <c r="K27" s="53"/>
      <c r="L27" s="53"/>
      <c r="M27" s="53"/>
    </row>
    <row r="28" spans="1:14" ht="16.5" thickBot="1" x14ac:dyDescent="0.3">
      <c r="A28" s="2"/>
      <c r="B28" s="90"/>
      <c r="C28" s="86"/>
      <c r="D28" s="2"/>
      <c r="E28" s="307"/>
      <c r="F28" s="307"/>
      <c r="G28" s="76" t="s">
        <v>72</v>
      </c>
      <c r="H28" s="245"/>
      <c r="I28" s="71"/>
      <c r="J28" s="229">
        <f>SUM(H14:H28)</f>
        <v>167833</v>
      </c>
      <c r="K28" s="53"/>
      <c r="L28" s="53"/>
      <c r="M28" s="53"/>
    </row>
    <row r="29" spans="1:14" ht="15.75" x14ac:dyDescent="0.25">
      <c r="A29" s="2"/>
      <c r="B29" s="90"/>
      <c r="C29" s="86"/>
      <c r="D29" s="2"/>
      <c r="E29" s="308"/>
      <c r="F29" s="308"/>
      <c r="G29" s="76"/>
      <c r="H29" s="245"/>
      <c r="I29" s="71"/>
      <c r="J29" s="72"/>
      <c r="K29" s="53"/>
      <c r="L29" s="174"/>
      <c r="M29" s="53"/>
    </row>
    <row r="30" spans="1:14" ht="15.75" x14ac:dyDescent="0.25">
      <c r="A30" s="91"/>
      <c r="B30" s="86"/>
      <c r="C30" s="86"/>
      <c r="D30" s="75"/>
      <c r="E30" s="306"/>
      <c r="F30" s="306"/>
      <c r="G30" s="76" t="s">
        <v>72</v>
      </c>
      <c r="H30" s="241"/>
      <c r="I30" s="77"/>
      <c r="J30" s="78"/>
      <c r="K30" s="53"/>
      <c r="L30" s="174"/>
      <c r="M30" s="53"/>
    </row>
    <row r="31" spans="1:14" ht="15.75" x14ac:dyDescent="0.25">
      <c r="A31" s="70"/>
      <c r="B31" s="4" t="s">
        <v>89</v>
      </c>
      <c r="C31" s="75"/>
      <c r="D31" s="75"/>
      <c r="E31" s="306"/>
      <c r="F31" s="306"/>
      <c r="G31" s="57" t="s">
        <v>72</v>
      </c>
      <c r="H31" s="242">
        <f>J9*10%</f>
        <v>0</v>
      </c>
      <c r="I31" s="71"/>
      <c r="J31" s="72"/>
      <c r="K31" s="53"/>
      <c r="L31" s="174"/>
      <c r="M31" s="53"/>
    </row>
    <row r="32" spans="1:14" ht="15.75" x14ac:dyDescent="0.25">
      <c r="A32" s="73"/>
      <c r="B32" s="74" t="s">
        <v>90</v>
      </c>
      <c r="C32" s="75"/>
      <c r="D32" s="75"/>
      <c r="E32" s="306"/>
      <c r="F32" s="306"/>
      <c r="G32" s="76" t="s">
        <v>72</v>
      </c>
      <c r="H32" s="242">
        <f>J9*3%</f>
        <v>0</v>
      </c>
      <c r="I32" s="77"/>
      <c r="J32" s="78"/>
      <c r="K32" s="53"/>
      <c r="L32" s="53"/>
      <c r="M32" s="53"/>
    </row>
    <row r="33" spans="1:13" ht="15.75" x14ac:dyDescent="0.25">
      <c r="A33" s="70"/>
      <c r="B33" s="4" t="s">
        <v>91</v>
      </c>
      <c r="C33" s="75"/>
      <c r="D33" s="75"/>
      <c r="E33" s="306"/>
      <c r="F33" s="306"/>
      <c r="G33" s="57" t="s">
        <v>72</v>
      </c>
      <c r="H33" s="243">
        <f>J9*2%</f>
        <v>0</v>
      </c>
      <c r="I33" s="71"/>
      <c r="J33" s="72"/>
      <c r="K33" s="53"/>
      <c r="L33" s="53"/>
      <c r="M33" s="53"/>
    </row>
    <row r="34" spans="1:13" ht="15.75" x14ac:dyDescent="0.25">
      <c r="A34" s="73"/>
      <c r="B34" s="74" t="s">
        <v>92</v>
      </c>
      <c r="C34" s="75"/>
      <c r="D34" s="75"/>
      <c r="E34" s="306" t="s">
        <v>192</v>
      </c>
      <c r="F34" s="306"/>
      <c r="G34" s="76" t="s">
        <v>72</v>
      </c>
      <c r="H34" s="224">
        <v>0</v>
      </c>
      <c r="I34" s="77"/>
      <c r="J34" s="78"/>
      <c r="K34" s="53"/>
      <c r="L34" s="53"/>
      <c r="M34" s="53"/>
    </row>
    <row r="35" spans="1:13" ht="15.75" x14ac:dyDescent="0.25">
      <c r="A35" s="93"/>
      <c r="B35" s="4" t="s">
        <v>93</v>
      </c>
      <c r="C35" s="75"/>
      <c r="D35" s="75"/>
      <c r="E35" s="306" t="s">
        <v>192</v>
      </c>
      <c r="F35" s="306"/>
      <c r="G35" s="57" t="s">
        <v>72</v>
      </c>
      <c r="H35" s="224">
        <v>4000</v>
      </c>
      <c r="I35" s="71"/>
      <c r="J35" s="72"/>
      <c r="K35" s="53"/>
      <c r="L35" s="53"/>
      <c r="M35" s="53"/>
    </row>
    <row r="36" spans="1:13" ht="15.75" x14ac:dyDescent="0.25">
      <c r="A36" s="73"/>
      <c r="B36" s="74" t="s">
        <v>94</v>
      </c>
      <c r="C36" s="75"/>
      <c r="D36" s="75"/>
      <c r="E36" s="306" t="s">
        <v>192</v>
      </c>
      <c r="F36" s="306"/>
      <c r="G36" s="76" t="s">
        <v>72</v>
      </c>
      <c r="H36" s="224">
        <v>300</v>
      </c>
      <c r="I36" s="77"/>
      <c r="J36" s="78"/>
      <c r="K36" s="53"/>
      <c r="L36" s="53"/>
      <c r="M36" s="53"/>
    </row>
    <row r="37" spans="1:13" ht="15.75" x14ac:dyDescent="0.25">
      <c r="A37" s="70"/>
      <c r="B37" s="4" t="s">
        <v>95</v>
      </c>
      <c r="C37" s="75"/>
      <c r="D37" s="75"/>
      <c r="E37" s="306" t="s">
        <v>192</v>
      </c>
      <c r="F37" s="306"/>
      <c r="G37" s="57" t="s">
        <v>72</v>
      </c>
      <c r="H37" s="224">
        <v>0</v>
      </c>
      <c r="I37" s="71"/>
      <c r="J37" s="72"/>
      <c r="K37" s="53"/>
      <c r="L37" s="53"/>
      <c r="M37" s="53"/>
    </row>
    <row r="38" spans="1:13" ht="16.5" thickBot="1" x14ac:dyDescent="0.3">
      <c r="A38" s="93"/>
      <c r="B38" s="94" t="s">
        <v>96</v>
      </c>
      <c r="C38" s="106"/>
      <c r="D38" s="106"/>
      <c r="E38" s="306" t="s">
        <v>192</v>
      </c>
      <c r="F38" s="306"/>
      <c r="G38" s="95" t="s">
        <v>72</v>
      </c>
      <c r="H38" s="224">
        <v>3000</v>
      </c>
      <c r="I38" s="96"/>
      <c r="J38" s="88"/>
      <c r="K38" s="53"/>
      <c r="L38" s="53"/>
      <c r="M38" s="53"/>
    </row>
    <row r="39" spans="1:13" ht="16.5" thickBot="1" x14ac:dyDescent="0.3">
      <c r="A39" s="97"/>
      <c r="B39" s="59" t="s">
        <v>97</v>
      </c>
      <c r="C39" s="59"/>
      <c r="D39" s="59"/>
      <c r="E39" s="303"/>
      <c r="F39" s="303"/>
      <c r="G39" s="303"/>
      <c r="H39" s="303"/>
      <c r="I39" s="60"/>
      <c r="J39" s="98">
        <f>SUM(H13:H38)</f>
        <v>725133</v>
      </c>
      <c r="K39" s="53"/>
      <c r="L39" s="4"/>
      <c r="M39" s="53"/>
    </row>
    <row r="40" spans="1:13" ht="16.5" thickBot="1" x14ac:dyDescent="0.3">
      <c r="A40" s="97"/>
      <c r="B40" s="59" t="s">
        <v>193</v>
      </c>
      <c r="C40" s="59"/>
      <c r="D40" s="59"/>
      <c r="E40" s="59" t="s">
        <v>205</v>
      </c>
      <c r="F40" s="59">
        <v>2025</v>
      </c>
      <c r="G40" s="303"/>
      <c r="H40" s="303"/>
      <c r="I40" s="60"/>
      <c r="J40" s="98">
        <f>J11-J39</f>
        <v>1014263</v>
      </c>
      <c r="K40" s="53"/>
      <c r="L40" s="4"/>
      <c r="M40" s="53"/>
    </row>
    <row r="41" spans="1:13" ht="15.75" x14ac:dyDescent="0.25">
      <c r="A41" s="100"/>
      <c r="B41" s="101" t="s">
        <v>202</v>
      </c>
      <c r="C41" s="102"/>
      <c r="D41" s="102"/>
      <c r="E41" s="102"/>
      <c r="F41" s="102"/>
      <c r="G41" s="102"/>
      <c r="H41" s="102"/>
      <c r="I41" s="103"/>
      <c r="J41" s="102"/>
      <c r="K41" s="104"/>
      <c r="L41" s="53"/>
      <c r="M41" s="53"/>
    </row>
    <row r="42" spans="1:13" ht="15.75" x14ac:dyDescent="0.25">
      <c r="A42" s="304"/>
      <c r="B42" s="304"/>
      <c r="C42" s="103"/>
      <c r="D42" s="103"/>
      <c r="E42" s="103"/>
      <c r="F42" s="103"/>
      <c r="G42" s="103"/>
      <c r="H42" s="103"/>
      <c r="I42" s="71"/>
      <c r="J42" s="103"/>
      <c r="K42" s="104"/>
      <c r="L42" s="53"/>
      <c r="M42" s="53"/>
    </row>
    <row r="43" spans="1:13" ht="15.75" x14ac:dyDescent="0.25">
      <c r="A43" s="305"/>
      <c r="B43" s="305"/>
      <c r="C43" s="305"/>
      <c r="D43" s="305"/>
      <c r="E43" s="305"/>
      <c r="F43" s="305"/>
      <c r="G43" s="305"/>
      <c r="H43" s="305"/>
      <c r="I43" s="105"/>
      <c r="J43" s="53"/>
      <c r="K43" s="53"/>
      <c r="L43" s="53"/>
      <c r="M43" s="53"/>
    </row>
  </sheetData>
  <mergeCells count="63">
    <mergeCell ref="A1:J1"/>
    <mergeCell ref="A2:B2"/>
    <mergeCell ref="C2:D2"/>
    <mergeCell ref="G2:H2"/>
    <mergeCell ref="C3:D3"/>
    <mergeCell ref="E3:F3"/>
    <mergeCell ref="G3:H3"/>
    <mergeCell ref="E2:F2"/>
    <mergeCell ref="C4:D4"/>
    <mergeCell ref="E4:F4"/>
    <mergeCell ref="G4:H4"/>
    <mergeCell ref="C5:D5"/>
    <mergeCell ref="E5:F5"/>
    <mergeCell ref="G5:H5"/>
    <mergeCell ref="C6:D6"/>
    <mergeCell ref="E6:F6"/>
    <mergeCell ref="C7:D7"/>
    <mergeCell ref="E7:F7"/>
    <mergeCell ref="C8:D8"/>
    <mergeCell ref="E8:F8"/>
    <mergeCell ref="E11:F11"/>
    <mergeCell ref="G11:H11"/>
    <mergeCell ref="E12:F12"/>
    <mergeCell ref="G12:H12"/>
    <mergeCell ref="A9:B9"/>
    <mergeCell ref="C9:D9"/>
    <mergeCell ref="E9:F9"/>
    <mergeCell ref="E10:F10"/>
    <mergeCell ref="G10:H10"/>
    <mergeCell ref="E23:F23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E29:F29"/>
    <mergeCell ref="E37:F37"/>
    <mergeCell ref="E38:F38"/>
    <mergeCell ref="E39:F39"/>
    <mergeCell ref="E34:F34"/>
    <mergeCell ref="E35:F35"/>
    <mergeCell ref="E36:F36"/>
    <mergeCell ref="G39:H39"/>
    <mergeCell ref="G40:H40"/>
    <mergeCell ref="A42:B42"/>
    <mergeCell ref="A43:B43"/>
    <mergeCell ref="C43:D43"/>
    <mergeCell ref="E43:F43"/>
    <mergeCell ref="G43:H4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1FE-9090-4E43-A86E-9E993D4C6B7A}">
  <dimension ref="A1:I48"/>
  <sheetViews>
    <sheetView showGridLines="0" topLeftCell="A41" workbookViewId="0">
      <selection activeCell="I7" sqref="I7"/>
    </sheetView>
  </sheetViews>
  <sheetFormatPr baseColWidth="10" defaultRowHeight="15" x14ac:dyDescent="0.25"/>
  <cols>
    <col min="8" max="8" width="11.42578125" style="214"/>
  </cols>
  <sheetData>
    <row r="1" spans="1:9" ht="21" x14ac:dyDescent="0.3">
      <c r="B1" s="134" t="s">
        <v>98</v>
      </c>
      <c r="C1" s="108"/>
      <c r="D1" s="108"/>
      <c r="E1" s="108"/>
      <c r="F1" s="108"/>
      <c r="G1" s="108"/>
      <c r="H1" s="197"/>
      <c r="I1" s="109"/>
    </row>
    <row r="2" spans="1:9" ht="21" x14ac:dyDescent="0.3">
      <c r="B2" s="134" t="s">
        <v>148</v>
      </c>
      <c r="C2" s="108"/>
      <c r="D2" s="108"/>
      <c r="E2" s="108"/>
      <c r="F2" s="108"/>
      <c r="G2" s="108"/>
      <c r="H2" s="197"/>
      <c r="I2" s="109"/>
    </row>
    <row r="3" spans="1:9" ht="21.75" x14ac:dyDescent="0.3">
      <c r="B3" s="134" t="s">
        <v>99</v>
      </c>
      <c r="C3" s="110"/>
      <c r="D3" s="110"/>
      <c r="E3" s="110"/>
      <c r="F3" s="110"/>
      <c r="G3" s="110"/>
      <c r="H3" s="198"/>
      <c r="I3" s="109"/>
    </row>
    <row r="4" spans="1:9" ht="9" customHeight="1" x14ac:dyDescent="0.25">
      <c r="A4" s="111"/>
      <c r="B4" s="115"/>
      <c r="C4" s="115"/>
      <c r="D4" s="111"/>
      <c r="E4" s="112"/>
      <c r="F4" s="112"/>
      <c r="G4" s="113"/>
      <c r="H4" s="199"/>
      <c r="I4" s="111"/>
    </row>
    <row r="5" spans="1:9" ht="24" customHeight="1" x14ac:dyDescent="0.25">
      <c r="A5" s="111"/>
      <c r="B5" s="111"/>
      <c r="C5" s="114"/>
      <c r="D5" s="114" t="s">
        <v>100</v>
      </c>
      <c r="E5" s="116"/>
      <c r="F5" s="117" t="s">
        <v>205</v>
      </c>
      <c r="G5" s="111"/>
      <c r="H5" s="200">
        <v>2025</v>
      </c>
      <c r="I5" s="111"/>
    </row>
    <row r="6" spans="1:9" ht="11.25" customHeight="1" x14ac:dyDescent="0.25">
      <c r="A6" s="53"/>
      <c r="B6" s="53"/>
      <c r="C6" s="53"/>
      <c r="D6" s="53"/>
      <c r="E6" s="127"/>
      <c r="F6" s="127"/>
      <c r="G6" s="118"/>
      <c r="H6" s="201"/>
      <c r="I6" s="53"/>
    </row>
    <row r="7" spans="1:9" ht="15.75" x14ac:dyDescent="0.25">
      <c r="A7" s="53" t="s">
        <v>101</v>
      </c>
      <c r="B7" s="53" t="s">
        <v>102</v>
      </c>
      <c r="C7" s="53"/>
      <c r="D7" s="53"/>
      <c r="E7" s="53"/>
      <c r="F7" s="53"/>
      <c r="G7" s="118" t="s">
        <v>72</v>
      </c>
      <c r="H7" s="202">
        <f>'INF. DISTRITAL'!H7</f>
        <v>0</v>
      </c>
      <c r="I7" s="53"/>
    </row>
    <row r="8" spans="1:9" ht="15.75" x14ac:dyDescent="0.25">
      <c r="A8" s="53" t="s">
        <v>103</v>
      </c>
      <c r="B8" s="53" t="s">
        <v>104</v>
      </c>
      <c r="C8" s="53"/>
      <c r="D8" s="53"/>
      <c r="E8" s="53"/>
      <c r="F8" s="53"/>
      <c r="G8" s="118" t="s">
        <v>72</v>
      </c>
      <c r="H8" s="203">
        <v>2750</v>
      </c>
      <c r="I8" s="53"/>
    </row>
    <row r="9" spans="1:9" ht="15.75" x14ac:dyDescent="0.25">
      <c r="A9" s="53" t="s">
        <v>105</v>
      </c>
      <c r="B9" s="53" t="s">
        <v>106</v>
      </c>
      <c r="C9" s="53"/>
      <c r="D9" s="53"/>
      <c r="E9" s="53"/>
      <c r="F9" s="53"/>
      <c r="G9" s="118" t="s">
        <v>72</v>
      </c>
      <c r="H9" s="203">
        <v>2750</v>
      </c>
      <c r="I9" s="53"/>
    </row>
    <row r="10" spans="1:9" ht="15.75" x14ac:dyDescent="0.25">
      <c r="A10" s="53" t="s">
        <v>107</v>
      </c>
      <c r="B10" s="53" t="s">
        <v>108</v>
      </c>
      <c r="C10" s="53"/>
      <c r="D10" s="53"/>
      <c r="E10" s="53"/>
      <c r="F10" s="53"/>
      <c r="G10" s="118" t="s">
        <v>72</v>
      </c>
      <c r="H10" s="203">
        <v>2750</v>
      </c>
      <c r="I10" s="53"/>
    </row>
    <row r="11" spans="1:9" ht="15.75" x14ac:dyDescent="0.25">
      <c r="A11" s="53" t="s">
        <v>109</v>
      </c>
      <c r="B11" s="53" t="s">
        <v>110</v>
      </c>
      <c r="C11" s="53"/>
      <c r="D11" s="53"/>
      <c r="E11" s="53"/>
      <c r="F11" s="53"/>
      <c r="G11" s="118"/>
      <c r="H11" s="203"/>
      <c r="I11" s="53"/>
    </row>
    <row r="12" spans="1:9" ht="15.75" x14ac:dyDescent="0.25">
      <c r="A12" s="53"/>
      <c r="B12" s="119" t="s">
        <v>111</v>
      </c>
      <c r="C12" s="119"/>
      <c r="D12" s="53"/>
      <c r="E12" s="53"/>
      <c r="F12" s="53"/>
      <c r="G12" s="118" t="s">
        <v>72</v>
      </c>
      <c r="H12" s="203">
        <v>1200</v>
      </c>
      <c r="I12" s="53"/>
    </row>
    <row r="13" spans="1:9" ht="15.75" x14ac:dyDescent="0.25">
      <c r="A13" s="53" t="s">
        <v>112</v>
      </c>
      <c r="B13" s="53" t="s">
        <v>113</v>
      </c>
      <c r="C13" s="53"/>
      <c r="D13" s="53"/>
      <c r="E13" s="53"/>
      <c r="F13" s="53"/>
      <c r="G13" s="118" t="s">
        <v>72</v>
      </c>
      <c r="H13" s="203">
        <f>'INF. DISTRITAL'!H8</f>
        <v>0</v>
      </c>
      <c r="I13" s="53"/>
    </row>
    <row r="14" spans="1:9" ht="15.75" x14ac:dyDescent="0.25">
      <c r="A14" s="53" t="s">
        <v>114</v>
      </c>
      <c r="B14" s="53" t="s">
        <v>115</v>
      </c>
      <c r="C14" s="53"/>
      <c r="D14" s="53"/>
      <c r="E14" s="53"/>
      <c r="F14" s="53"/>
      <c r="G14" s="118" t="s">
        <v>72</v>
      </c>
      <c r="H14" s="203">
        <f>'INF. DISTRITAL'!H9</f>
        <v>0</v>
      </c>
      <c r="I14" s="53"/>
    </row>
    <row r="15" spans="1:9" ht="15.75" x14ac:dyDescent="0.25">
      <c r="A15" s="53" t="s">
        <v>116</v>
      </c>
      <c r="B15" s="53" t="s">
        <v>117</v>
      </c>
      <c r="C15" s="53"/>
      <c r="D15" s="53"/>
      <c r="E15" s="53"/>
      <c r="F15" s="53"/>
      <c r="G15" s="118" t="s">
        <v>72</v>
      </c>
      <c r="H15" s="204">
        <v>0</v>
      </c>
      <c r="I15" s="53"/>
    </row>
    <row r="16" spans="1:9" ht="15.75" x14ac:dyDescent="0.25">
      <c r="A16" s="53" t="s">
        <v>118</v>
      </c>
      <c r="B16" s="53" t="s">
        <v>119</v>
      </c>
      <c r="C16" s="53"/>
      <c r="D16" s="53"/>
      <c r="E16" s="53"/>
      <c r="F16" s="53"/>
      <c r="G16" s="118" t="s">
        <v>72</v>
      </c>
      <c r="H16" s="203">
        <v>0</v>
      </c>
      <c r="I16" s="53"/>
    </row>
    <row r="17" spans="1:9" ht="15.75" x14ac:dyDescent="0.25">
      <c r="A17" s="53"/>
      <c r="B17" s="54" t="s">
        <v>120</v>
      </c>
      <c r="C17" s="54"/>
      <c r="D17" s="53"/>
      <c r="E17" s="53"/>
      <c r="F17" s="53"/>
      <c r="G17" s="118"/>
      <c r="H17" s="203"/>
      <c r="I17" s="53"/>
    </row>
    <row r="18" spans="1:9" ht="11.45" customHeight="1" x14ac:dyDescent="0.25">
      <c r="A18" s="53" t="s">
        <v>121</v>
      </c>
      <c r="B18" s="104" t="s">
        <v>46</v>
      </c>
      <c r="C18" s="53"/>
      <c r="D18" s="53"/>
      <c r="E18" s="53"/>
      <c r="F18" s="53"/>
      <c r="G18" s="118" t="s">
        <v>72</v>
      </c>
      <c r="H18" s="203"/>
      <c r="I18" s="53"/>
    </row>
    <row r="19" spans="1:9" ht="11.45" customHeight="1" x14ac:dyDescent="0.25">
      <c r="A19" s="53" t="s">
        <v>121</v>
      </c>
      <c r="B19" s="104" t="s">
        <v>47</v>
      </c>
      <c r="C19" s="53"/>
      <c r="D19" s="53"/>
      <c r="E19" s="53"/>
      <c r="F19" s="53"/>
      <c r="G19" s="118" t="s">
        <v>72</v>
      </c>
      <c r="H19" s="203"/>
      <c r="I19" s="53"/>
    </row>
    <row r="20" spans="1:9" ht="11.45" customHeight="1" x14ac:dyDescent="0.25">
      <c r="A20" s="53" t="s">
        <v>121</v>
      </c>
      <c r="B20" s="104" t="s">
        <v>48</v>
      </c>
      <c r="C20" s="53"/>
      <c r="D20" s="53"/>
      <c r="E20" s="53"/>
      <c r="F20" s="53"/>
      <c r="G20" s="118" t="s">
        <v>72</v>
      </c>
      <c r="H20" s="203">
        <f>'INF. DISTRITAL'!C39</f>
        <v>0</v>
      </c>
      <c r="I20" s="53"/>
    </row>
    <row r="21" spans="1:9" ht="11.45" customHeight="1" x14ac:dyDescent="0.25">
      <c r="A21" s="53" t="s">
        <v>121</v>
      </c>
      <c r="B21" s="104" t="s">
        <v>122</v>
      </c>
      <c r="C21" s="53"/>
      <c r="D21" s="53"/>
      <c r="E21" s="53"/>
      <c r="F21" s="53"/>
      <c r="G21" s="118" t="s">
        <v>72</v>
      </c>
      <c r="H21" s="203">
        <f>'INF. DISTRITAL'!C44</f>
        <v>0</v>
      </c>
      <c r="I21" s="53"/>
    </row>
    <row r="22" spans="1:9" ht="11.45" customHeight="1" x14ac:dyDescent="0.25">
      <c r="A22" s="53"/>
      <c r="B22" s="259" t="s">
        <v>123</v>
      </c>
      <c r="C22" s="54"/>
      <c r="D22" s="53"/>
      <c r="E22" s="53"/>
      <c r="F22" s="53"/>
      <c r="G22" s="118"/>
      <c r="H22" s="203"/>
      <c r="I22" s="53"/>
    </row>
    <row r="23" spans="1:9" ht="11.45" customHeight="1" x14ac:dyDescent="0.25">
      <c r="A23" s="53" t="s">
        <v>124</v>
      </c>
      <c r="B23" s="104" t="s">
        <v>125</v>
      </c>
      <c r="C23" s="53"/>
      <c r="D23" s="53"/>
      <c r="E23" s="53"/>
      <c r="F23" s="53"/>
      <c r="G23" s="118" t="s">
        <v>72</v>
      </c>
      <c r="H23" s="204">
        <f>'INF. DISTRITAL'!C40</f>
        <v>0</v>
      </c>
      <c r="I23" s="53"/>
    </row>
    <row r="24" spans="1:9" ht="11.45" customHeight="1" x14ac:dyDescent="0.25">
      <c r="A24" s="53" t="s">
        <v>126</v>
      </c>
      <c r="B24" s="104" t="s">
        <v>127</v>
      </c>
      <c r="C24" s="53"/>
      <c r="D24" s="53"/>
      <c r="E24" s="53"/>
      <c r="F24" s="53"/>
      <c r="G24" s="118" t="s">
        <v>72</v>
      </c>
      <c r="H24" s="203"/>
      <c r="I24" s="53"/>
    </row>
    <row r="25" spans="1:9" ht="11.45" customHeight="1" x14ac:dyDescent="0.25">
      <c r="A25" s="53" t="s">
        <v>128</v>
      </c>
      <c r="B25" s="104" t="s">
        <v>129</v>
      </c>
      <c r="C25" s="53"/>
      <c r="D25" s="53"/>
      <c r="E25" s="53"/>
      <c r="F25" s="53"/>
      <c r="G25" s="118" t="s">
        <v>72</v>
      </c>
      <c r="H25" s="203"/>
      <c r="I25" s="53"/>
    </row>
    <row r="26" spans="1:9" ht="15.75" x14ac:dyDescent="0.25">
      <c r="A26" s="53" t="s">
        <v>130</v>
      </c>
      <c r="B26" s="53" t="s">
        <v>131</v>
      </c>
      <c r="C26" s="53"/>
      <c r="D26" s="53"/>
      <c r="E26" s="53"/>
      <c r="F26" s="53"/>
      <c r="G26" s="118" t="s">
        <v>72</v>
      </c>
      <c r="H26" s="203">
        <v>4000</v>
      </c>
      <c r="I26" s="53"/>
    </row>
    <row r="27" spans="1:9" ht="15.75" x14ac:dyDescent="0.25">
      <c r="A27" s="53" t="s">
        <v>132</v>
      </c>
      <c r="B27" s="53" t="s">
        <v>133</v>
      </c>
      <c r="C27" s="53"/>
      <c r="D27" s="53"/>
      <c r="E27" s="53"/>
      <c r="F27" s="53"/>
      <c r="G27" s="118" t="s">
        <v>72</v>
      </c>
      <c r="H27" s="203">
        <v>3000</v>
      </c>
      <c r="I27" s="53"/>
    </row>
    <row r="28" spans="1:9" ht="15.75" x14ac:dyDescent="0.25">
      <c r="A28" s="120"/>
      <c r="B28" s="53"/>
      <c r="C28" s="53"/>
      <c r="D28" s="53"/>
      <c r="E28" s="53"/>
      <c r="F28" s="53"/>
      <c r="G28" s="118" t="s">
        <v>72</v>
      </c>
      <c r="H28" s="203"/>
      <c r="I28" s="53"/>
    </row>
    <row r="29" spans="1:9" ht="15.75" x14ac:dyDescent="0.25">
      <c r="A29" s="53"/>
      <c r="B29" s="53"/>
      <c r="D29" s="53"/>
      <c r="F29" s="54" t="s">
        <v>134</v>
      </c>
      <c r="G29" s="118" t="s">
        <v>72</v>
      </c>
      <c r="H29" s="205">
        <f>SUM(H7:H28)</f>
        <v>16450</v>
      </c>
      <c r="I29" s="53"/>
    </row>
    <row r="30" spans="1:9" ht="9" customHeight="1" x14ac:dyDescent="0.25">
      <c r="A30" s="53"/>
      <c r="B30" s="53"/>
      <c r="C30" s="53"/>
      <c r="D30" s="53"/>
      <c r="E30" s="53"/>
      <c r="F30" s="53"/>
      <c r="G30" s="118"/>
      <c r="H30" s="201"/>
      <c r="I30" s="53"/>
    </row>
    <row r="31" spans="1:9" ht="10.5" customHeight="1" x14ac:dyDescent="0.25">
      <c r="B31" s="257" t="s">
        <v>135</v>
      </c>
      <c r="C31" s="121"/>
      <c r="D31" s="121"/>
      <c r="E31" s="121"/>
      <c r="F31" s="121"/>
      <c r="G31" s="121"/>
      <c r="H31" s="206"/>
      <c r="I31" s="53"/>
    </row>
    <row r="32" spans="1:9" ht="10.5" customHeight="1" x14ac:dyDescent="0.25">
      <c r="B32" s="258" t="s">
        <v>136</v>
      </c>
      <c r="C32" s="115"/>
      <c r="D32" s="115"/>
      <c r="E32" s="115"/>
      <c r="F32" s="115"/>
      <c r="G32" s="115"/>
      <c r="H32" s="207"/>
      <c r="I32" s="53"/>
    </row>
    <row r="33" spans="1:9" ht="10.5" customHeight="1" x14ac:dyDescent="0.25">
      <c r="B33" s="258" t="s">
        <v>137</v>
      </c>
      <c r="C33" s="122"/>
      <c r="D33" s="122"/>
      <c r="E33" s="122"/>
      <c r="F33" s="122"/>
      <c r="G33" s="122"/>
      <c r="H33" s="208"/>
      <c r="I33" s="53"/>
    </row>
    <row r="34" spans="1:9" ht="10.5" customHeight="1" x14ac:dyDescent="0.25">
      <c r="B34" s="258" t="s">
        <v>138</v>
      </c>
      <c r="C34" s="122"/>
      <c r="D34" s="122"/>
      <c r="E34" s="122"/>
      <c r="F34" s="122"/>
      <c r="G34" s="122"/>
      <c r="H34" s="208"/>
      <c r="I34" s="53"/>
    </row>
    <row r="35" spans="1:9" ht="10.5" customHeight="1" x14ac:dyDescent="0.25">
      <c r="B35" s="257" t="s">
        <v>139</v>
      </c>
      <c r="E35" s="122"/>
      <c r="F35" s="122"/>
      <c r="G35" s="122"/>
      <c r="H35" s="208"/>
      <c r="I35" s="53"/>
    </row>
    <row r="36" spans="1:9" ht="15.75" x14ac:dyDescent="0.25">
      <c r="B36" s="123"/>
      <c r="D36" s="123" t="s">
        <v>140</v>
      </c>
      <c r="E36" s="123"/>
      <c r="F36" s="123"/>
      <c r="G36" s="123"/>
      <c r="H36" s="209"/>
      <c r="I36" s="53"/>
    </row>
    <row r="37" spans="1:9" ht="15.75" x14ac:dyDescent="0.25">
      <c r="B37" s="123"/>
      <c r="D37" s="123" t="s">
        <v>141</v>
      </c>
      <c r="E37" s="123"/>
      <c r="F37" s="123"/>
      <c r="G37" s="123"/>
      <c r="H37" s="209"/>
      <c r="I37" s="53"/>
    </row>
    <row r="38" spans="1:9" ht="15.75" x14ac:dyDescent="0.25">
      <c r="B38" s="123"/>
      <c r="D38" s="123" t="s">
        <v>142</v>
      </c>
      <c r="E38" s="123"/>
      <c r="F38" s="123"/>
      <c r="G38" s="123"/>
      <c r="H38" s="209"/>
      <c r="I38" s="53"/>
    </row>
    <row r="39" spans="1:9" ht="15.75" x14ac:dyDescent="0.25">
      <c r="A39" s="53" t="s">
        <v>143</v>
      </c>
      <c r="B39" s="53"/>
      <c r="C39" s="53"/>
      <c r="D39" s="120" t="s">
        <v>203</v>
      </c>
      <c r="E39" s="120"/>
      <c r="F39" s="120"/>
      <c r="G39" s="124"/>
      <c r="H39" s="204"/>
      <c r="I39" s="53"/>
    </row>
    <row r="40" spans="1:9" ht="15.75" x14ac:dyDescent="0.25">
      <c r="A40" s="125" t="s">
        <v>144</v>
      </c>
      <c r="B40" s="125"/>
      <c r="C40" s="53"/>
      <c r="D40" s="53"/>
      <c r="E40" s="127"/>
      <c r="F40" s="127"/>
      <c r="G40" s="118"/>
      <c r="H40" s="201"/>
      <c r="I40" s="53"/>
    </row>
    <row r="41" spans="1:9" ht="15.75" x14ac:dyDescent="0.25">
      <c r="A41" s="125" t="s">
        <v>145</v>
      </c>
      <c r="B41" s="125"/>
      <c r="C41" s="53"/>
      <c r="D41" s="53"/>
      <c r="E41" s="120"/>
      <c r="F41" s="120"/>
      <c r="G41" s="118"/>
      <c r="H41" s="201"/>
      <c r="I41" s="53"/>
    </row>
    <row r="42" spans="1:9" ht="15.75" x14ac:dyDescent="0.25">
      <c r="A42" s="53"/>
      <c r="B42" s="126"/>
      <c r="C42" s="127"/>
      <c r="D42" s="127"/>
      <c r="E42" s="127"/>
      <c r="F42" s="127"/>
      <c r="G42" s="128"/>
      <c r="H42" s="210"/>
      <c r="I42" s="53"/>
    </row>
    <row r="43" spans="1:9" ht="15.75" x14ac:dyDescent="0.25">
      <c r="A43" s="53"/>
      <c r="B43" s="129"/>
      <c r="C43" s="53"/>
      <c r="D43" s="53"/>
      <c r="E43" s="53"/>
      <c r="F43" s="53"/>
      <c r="G43" s="118"/>
      <c r="H43" s="211"/>
      <c r="I43" s="53"/>
    </row>
    <row r="44" spans="1:9" ht="15.75" x14ac:dyDescent="0.25">
      <c r="A44" s="53"/>
      <c r="B44" s="133"/>
      <c r="C44" s="132"/>
      <c r="D44" s="132"/>
      <c r="E44" s="130" t="s">
        <v>146</v>
      </c>
      <c r="F44" s="132"/>
      <c r="G44" s="132"/>
      <c r="H44" s="212"/>
      <c r="I44" s="53"/>
    </row>
    <row r="45" spans="1:9" ht="15.75" x14ac:dyDescent="0.25">
      <c r="A45" s="53"/>
      <c r="B45" s="133"/>
      <c r="C45" s="132"/>
      <c r="E45" s="130" t="s">
        <v>147</v>
      </c>
      <c r="F45" s="132"/>
      <c r="G45" s="132"/>
      <c r="H45" s="212"/>
      <c r="I45" s="53"/>
    </row>
    <row r="46" spans="1:9" ht="15.75" x14ac:dyDescent="0.25">
      <c r="A46" s="53"/>
      <c r="B46" s="129"/>
      <c r="C46" s="53"/>
      <c r="D46" s="53"/>
      <c r="E46" s="53"/>
      <c r="F46" s="53"/>
      <c r="G46" s="118"/>
      <c r="H46" s="211"/>
      <c r="I46" s="53"/>
    </row>
    <row r="47" spans="1:9" ht="15.75" x14ac:dyDescent="0.25">
      <c r="A47" s="53"/>
      <c r="B47" s="131"/>
      <c r="C47" s="120"/>
      <c r="D47" s="120"/>
      <c r="E47" s="120"/>
      <c r="F47" s="120"/>
      <c r="G47" s="124"/>
      <c r="H47" s="213"/>
      <c r="I47" s="53"/>
    </row>
    <row r="48" spans="1:9" ht="15.75" x14ac:dyDescent="0.25">
      <c r="A48" s="53"/>
      <c r="B48" s="53"/>
      <c r="C48" s="53"/>
      <c r="D48" s="53"/>
      <c r="E48" s="127"/>
      <c r="F48" s="127"/>
      <c r="G48" s="118"/>
      <c r="H48" s="201"/>
      <c r="I48" s="53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1A0E-3994-4173-A489-56A31991D82C}">
  <dimension ref="A1:J22"/>
  <sheetViews>
    <sheetView showGridLines="0" topLeftCell="A8" workbookViewId="0">
      <selection activeCell="D23" sqref="D23"/>
    </sheetView>
  </sheetViews>
  <sheetFormatPr baseColWidth="10" defaultRowHeight="15" x14ac:dyDescent="0.25"/>
  <cols>
    <col min="1" max="1" width="7.42578125" customWidth="1"/>
    <col min="2" max="2" width="15.5703125" customWidth="1"/>
    <col min="3" max="3" width="6.5703125" customWidth="1"/>
    <col min="4" max="4" width="16.7109375" style="214" customWidth="1"/>
    <col min="5" max="5" width="13.28515625" style="214" customWidth="1"/>
    <col min="6" max="6" width="14" style="214" customWidth="1"/>
    <col min="7" max="7" width="16.5703125" style="214" customWidth="1"/>
  </cols>
  <sheetData>
    <row r="1" spans="1:10" ht="18.75" x14ac:dyDescent="0.3">
      <c r="C1" s="227" t="s">
        <v>149</v>
      </c>
      <c r="D1" s="227"/>
      <c r="E1" s="227"/>
      <c r="F1" s="227"/>
      <c r="G1" s="227"/>
      <c r="H1" s="227"/>
      <c r="I1" s="227"/>
      <c r="J1" s="4"/>
    </row>
    <row r="2" spans="1:10" ht="18.75" x14ac:dyDescent="0.3">
      <c r="C2" s="227" t="s">
        <v>150</v>
      </c>
      <c r="D2" s="227"/>
      <c r="E2" s="227"/>
      <c r="F2" s="227"/>
      <c r="G2" s="227"/>
      <c r="H2" s="227"/>
      <c r="I2" s="227"/>
      <c r="J2" s="4"/>
    </row>
    <row r="3" spans="1:10" ht="20.25" x14ac:dyDescent="0.3">
      <c r="B3" s="228"/>
      <c r="C3" s="228"/>
      <c r="E3" s="228" t="s">
        <v>151</v>
      </c>
      <c r="F3" s="228"/>
      <c r="G3" s="228"/>
      <c r="H3" s="228"/>
      <c r="I3" s="228"/>
      <c r="J3" s="4"/>
    </row>
    <row r="4" spans="1:10" ht="15.75" x14ac:dyDescent="0.25">
      <c r="A4" s="305"/>
      <c r="B4" s="305"/>
      <c r="C4" s="305"/>
      <c r="D4" s="305"/>
      <c r="E4" s="305"/>
      <c r="F4" s="305"/>
      <c r="G4" s="201"/>
      <c r="H4" s="105"/>
      <c r="I4" s="53"/>
      <c r="J4" s="4"/>
    </row>
    <row r="5" spans="1:10" ht="15.75" x14ac:dyDescent="0.25">
      <c r="B5" s="54"/>
      <c r="C5" s="53"/>
      <c r="D5" s="215" t="s">
        <v>197</v>
      </c>
      <c r="E5" s="225"/>
      <c r="F5" s="225"/>
      <c r="G5" s="201"/>
      <c r="H5" s="105"/>
      <c r="I5" s="53"/>
      <c r="J5" s="4"/>
    </row>
    <row r="6" spans="1:10" ht="15.75" x14ac:dyDescent="0.25">
      <c r="A6" s="305"/>
      <c r="B6" s="305"/>
      <c r="C6" s="305"/>
      <c r="D6" s="305"/>
      <c r="E6" s="305"/>
      <c r="F6" s="305"/>
      <c r="G6" s="201"/>
      <c r="H6" s="105"/>
      <c r="I6" s="53"/>
      <c r="J6" s="4"/>
    </row>
    <row r="7" spans="1:10" ht="15.75" x14ac:dyDescent="0.25">
      <c r="B7" s="231" t="s">
        <v>188</v>
      </c>
      <c r="C7" s="54"/>
      <c r="E7" s="215" t="s">
        <v>206</v>
      </c>
      <c r="F7" s="249">
        <v>2025</v>
      </c>
      <c r="G7" s="248">
        <f>'INF. DISTRITAL'!C4</f>
        <v>2236439</v>
      </c>
      <c r="H7" s="135"/>
      <c r="I7" s="54"/>
      <c r="J7" s="18"/>
    </row>
    <row r="8" spans="1:10" ht="15.75" x14ac:dyDescent="0.25">
      <c r="A8" s="53"/>
      <c r="B8" s="54" t="s">
        <v>195</v>
      </c>
      <c r="C8" s="53"/>
      <c r="D8" s="53"/>
      <c r="E8" s="53"/>
      <c r="F8" s="249"/>
      <c r="G8" s="201"/>
      <c r="H8" s="105"/>
      <c r="I8" s="53"/>
      <c r="J8" s="4"/>
    </row>
    <row r="9" spans="1:10" ht="15.75" x14ac:dyDescent="0.25">
      <c r="A9" s="53"/>
      <c r="B9" s="54"/>
      <c r="C9" s="53"/>
      <c r="D9" s="53"/>
      <c r="E9" s="53"/>
      <c r="F9" s="250"/>
      <c r="G9" s="201"/>
      <c r="H9" s="105"/>
      <c r="I9" s="53"/>
      <c r="J9" s="4"/>
    </row>
    <row r="10" spans="1:10" ht="15.75" x14ac:dyDescent="0.25">
      <c r="A10" s="54"/>
      <c r="B10" s="54" t="s">
        <v>196</v>
      </c>
      <c r="C10" s="54"/>
      <c r="D10" s="215"/>
      <c r="E10" s="54" t="s">
        <v>205</v>
      </c>
      <c r="F10" s="249">
        <v>2025</v>
      </c>
      <c r="G10" s="220">
        <f>G21</f>
        <v>2236439</v>
      </c>
      <c r="H10" s="135"/>
      <c r="I10" s="54"/>
      <c r="J10" s="4"/>
    </row>
    <row r="11" spans="1:10" ht="16.5" thickBot="1" x14ac:dyDescent="0.3">
      <c r="A11" s="54"/>
      <c r="B11" s="54"/>
      <c r="C11" s="54"/>
      <c r="D11" s="215"/>
      <c r="E11" s="220"/>
      <c r="F11" s="220"/>
      <c r="G11" s="220"/>
      <c r="H11" s="135"/>
      <c r="I11" s="54"/>
      <c r="J11" s="4"/>
    </row>
    <row r="12" spans="1:10" ht="15.75" thickBot="1" x14ac:dyDescent="0.3">
      <c r="A12" s="4"/>
      <c r="B12" s="4"/>
      <c r="C12" s="4"/>
      <c r="D12" s="216" t="s">
        <v>185</v>
      </c>
      <c r="E12" s="221" t="s">
        <v>186</v>
      </c>
      <c r="F12" s="221" t="s">
        <v>187</v>
      </c>
      <c r="G12" s="221" t="s">
        <v>184</v>
      </c>
      <c r="H12" s="260"/>
      <c r="I12" s="260"/>
      <c r="J12" s="4"/>
    </row>
    <row r="13" spans="1:10" x14ac:dyDescent="0.25">
      <c r="A13" s="4"/>
      <c r="B13" s="188" t="s">
        <v>152</v>
      </c>
      <c r="C13" s="189"/>
      <c r="D13" s="217">
        <v>600000</v>
      </c>
      <c r="E13" s="217"/>
      <c r="F13" s="217"/>
      <c r="G13" s="222">
        <f>D13+E13-F13</f>
        <v>600000</v>
      </c>
      <c r="H13" s="4"/>
      <c r="J13" s="4"/>
    </row>
    <row r="14" spans="1:10" x14ac:dyDescent="0.25">
      <c r="A14" s="4"/>
      <c r="B14" s="190" t="s">
        <v>27</v>
      </c>
      <c r="C14" s="136"/>
      <c r="D14" s="218">
        <v>95723</v>
      </c>
      <c r="E14" s="218"/>
      <c r="F14" s="218"/>
      <c r="G14" s="222">
        <f t="shared" ref="G14:G20" si="0">D14+E14-F14</f>
        <v>95723</v>
      </c>
      <c r="H14" s="4"/>
      <c r="I14" s="226"/>
      <c r="J14" s="4"/>
    </row>
    <row r="15" spans="1:10" x14ac:dyDescent="0.25">
      <c r="A15" s="4"/>
      <c r="B15" s="192" t="s">
        <v>153</v>
      </c>
      <c r="C15" s="136"/>
      <c r="D15" s="218">
        <v>47060</v>
      </c>
      <c r="E15" s="175"/>
      <c r="F15" s="218"/>
      <c r="G15" s="222">
        <f t="shared" si="0"/>
        <v>47060</v>
      </c>
      <c r="H15" s="4"/>
      <c r="J15" s="4"/>
    </row>
    <row r="16" spans="1:10" x14ac:dyDescent="0.25">
      <c r="A16" s="4"/>
      <c r="B16" s="190" t="s">
        <v>207</v>
      </c>
      <c r="C16" s="136"/>
      <c r="D16" s="218">
        <v>4870</v>
      </c>
      <c r="E16" s="218"/>
      <c r="F16" s="218"/>
      <c r="G16" s="222">
        <f t="shared" si="0"/>
        <v>4870</v>
      </c>
      <c r="H16" s="4"/>
      <c r="J16" s="4"/>
    </row>
    <row r="17" spans="1:10" x14ac:dyDescent="0.25">
      <c r="A17" s="4"/>
      <c r="B17" s="193" t="s">
        <v>154</v>
      </c>
      <c r="C17" s="136"/>
      <c r="D17" s="218">
        <v>1398120</v>
      </c>
      <c r="E17" s="218"/>
      <c r="F17" s="218"/>
      <c r="G17" s="222">
        <f t="shared" si="0"/>
        <v>1398120</v>
      </c>
      <c r="H17" s="4"/>
      <c r="J17" s="4"/>
    </row>
    <row r="18" spans="1:10" x14ac:dyDescent="0.25">
      <c r="A18" s="4"/>
      <c r="B18" s="193"/>
      <c r="C18" s="136"/>
      <c r="D18" s="218"/>
      <c r="E18" s="218"/>
      <c r="F18" s="218"/>
      <c r="G18" s="222">
        <f t="shared" si="0"/>
        <v>0</v>
      </c>
      <c r="H18" s="4"/>
      <c r="J18" s="4"/>
    </row>
    <row r="19" spans="1:10" x14ac:dyDescent="0.25">
      <c r="A19" s="4"/>
      <c r="B19" s="193" t="s">
        <v>204</v>
      </c>
      <c r="C19" s="136"/>
      <c r="D19" s="218">
        <v>25790</v>
      </c>
      <c r="E19" s="218"/>
      <c r="F19" s="218"/>
      <c r="G19" s="222">
        <f t="shared" si="0"/>
        <v>25790</v>
      </c>
      <c r="H19" s="4"/>
      <c r="J19" s="4"/>
    </row>
    <row r="20" spans="1:10" x14ac:dyDescent="0.25">
      <c r="A20" s="4"/>
      <c r="B20" s="191" t="s">
        <v>155</v>
      </c>
      <c r="C20" s="136"/>
      <c r="D20" s="218">
        <v>64876</v>
      </c>
      <c r="E20" s="218"/>
      <c r="F20" s="218"/>
      <c r="G20" s="222">
        <f t="shared" si="0"/>
        <v>64876</v>
      </c>
      <c r="H20" s="4"/>
      <c r="J20" s="4"/>
    </row>
    <row r="21" spans="1:10" ht="16.5" thickBot="1" x14ac:dyDescent="0.3">
      <c r="A21" s="4"/>
      <c r="B21" s="194" t="s">
        <v>200</v>
      </c>
      <c r="C21" s="195"/>
      <c r="D21" s="219"/>
      <c r="E21" s="219"/>
      <c r="F21" s="219"/>
      <c r="G21" s="223">
        <f>SUM(G13:G20)</f>
        <v>2236439</v>
      </c>
      <c r="H21" s="18"/>
      <c r="J21" s="4"/>
    </row>
    <row r="22" spans="1:10" x14ac:dyDescent="0.25">
      <c r="A22" s="260"/>
      <c r="B22" s="260"/>
      <c r="C22" s="260"/>
      <c r="D22" s="260"/>
      <c r="E22" s="260"/>
      <c r="F22" s="260"/>
      <c r="G22" s="224"/>
      <c r="H22" s="4"/>
      <c r="I22" s="4"/>
      <c r="J22" s="4"/>
    </row>
  </sheetData>
  <mergeCells count="10">
    <mergeCell ref="A4:B4"/>
    <mergeCell ref="C4:D4"/>
    <mergeCell ref="E4:F4"/>
    <mergeCell ref="A22:B22"/>
    <mergeCell ref="C22:D22"/>
    <mergeCell ref="E22:F22"/>
    <mergeCell ref="H12:I12"/>
    <mergeCell ref="A6:B6"/>
    <mergeCell ref="C6:D6"/>
    <mergeCell ref="E6:F6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698F-2A34-419A-A9EF-4806F6AC46F2}">
  <dimension ref="A1:L43"/>
  <sheetViews>
    <sheetView topLeftCell="A10" workbookViewId="0">
      <selection activeCell="A2" sqref="A2"/>
    </sheetView>
  </sheetViews>
  <sheetFormatPr baseColWidth="10" defaultRowHeight="15" x14ac:dyDescent="0.25"/>
  <sheetData>
    <row r="1" spans="1:12" x14ac:dyDescent="0.25">
      <c r="A1" s="137" t="s">
        <v>194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8.75" x14ac:dyDescent="0.3">
      <c r="A2" s="138" t="s">
        <v>156</v>
      </c>
      <c r="B2" s="138" t="s">
        <v>157</v>
      </c>
      <c r="C2" s="138" t="s">
        <v>158</v>
      </c>
      <c r="D2" s="138" t="s">
        <v>159</v>
      </c>
      <c r="E2" s="138" t="s">
        <v>160</v>
      </c>
      <c r="F2" s="138" t="s">
        <v>161</v>
      </c>
      <c r="G2" s="138" t="s">
        <v>162</v>
      </c>
      <c r="H2" s="138" t="s">
        <v>53</v>
      </c>
      <c r="I2" s="138" t="s">
        <v>163</v>
      </c>
      <c r="J2" s="4"/>
      <c r="K2" s="4"/>
      <c r="L2" s="4"/>
    </row>
    <row r="3" spans="1:12" ht="18.75" x14ac:dyDescent="0.3">
      <c r="A3" s="139" t="s">
        <v>164</v>
      </c>
      <c r="B3" s="235"/>
      <c r="C3" s="235"/>
      <c r="D3" s="235"/>
      <c r="E3" s="235"/>
      <c r="F3" s="235"/>
      <c r="G3" s="235"/>
      <c r="H3" s="235"/>
      <c r="I3" s="235"/>
      <c r="J3" s="4"/>
      <c r="K3" s="4"/>
      <c r="L3" s="4"/>
    </row>
    <row r="4" spans="1:12" ht="18.75" x14ac:dyDescent="0.3">
      <c r="A4" s="139" t="s">
        <v>165</v>
      </c>
      <c r="B4" s="235"/>
      <c r="C4" s="235"/>
      <c r="D4" s="235"/>
      <c r="E4" s="235"/>
      <c r="F4" s="235"/>
      <c r="G4" s="235"/>
      <c r="H4" s="235"/>
      <c r="I4" s="235"/>
      <c r="J4" s="4"/>
      <c r="K4" s="4"/>
      <c r="L4" s="4"/>
    </row>
    <row r="5" spans="1:12" ht="18.75" x14ac:dyDescent="0.3">
      <c r="A5" s="139" t="s">
        <v>166</v>
      </c>
      <c r="B5" s="235"/>
      <c r="C5" s="235"/>
      <c r="D5" s="235"/>
      <c r="E5" s="235"/>
      <c r="F5" s="235"/>
      <c r="G5" s="235"/>
      <c r="H5" s="235"/>
      <c r="I5" s="235"/>
      <c r="J5" s="4"/>
      <c r="K5" s="4"/>
      <c r="L5" s="4"/>
    </row>
    <row r="6" spans="1:12" ht="18.75" x14ac:dyDescent="0.3">
      <c r="A6" s="139" t="s">
        <v>167</v>
      </c>
      <c r="B6" s="235"/>
      <c r="C6" s="235"/>
      <c r="D6" s="235"/>
      <c r="E6" s="235"/>
      <c r="F6" s="235"/>
      <c r="G6" s="235"/>
      <c r="H6" s="235"/>
      <c r="I6" s="235"/>
      <c r="J6" s="4"/>
      <c r="K6" s="4"/>
      <c r="L6" s="4"/>
    </row>
    <row r="7" spans="1:12" ht="18.75" x14ac:dyDescent="0.3">
      <c r="A7" s="139" t="s">
        <v>168</v>
      </c>
      <c r="B7" s="235"/>
      <c r="C7" s="235"/>
      <c r="D7" s="235"/>
      <c r="E7" s="235"/>
      <c r="F7" s="235"/>
      <c r="G7" s="235"/>
      <c r="H7" s="235"/>
      <c r="I7" s="235"/>
      <c r="J7" s="4"/>
      <c r="K7" s="4"/>
      <c r="L7" s="4"/>
    </row>
    <row r="8" spans="1:12" ht="18.75" x14ac:dyDescent="0.3">
      <c r="A8" s="139" t="s">
        <v>169</v>
      </c>
      <c r="B8" s="235"/>
      <c r="C8" s="235"/>
      <c r="D8" s="235"/>
      <c r="E8" s="235"/>
      <c r="F8" s="235"/>
      <c r="G8" s="235"/>
      <c r="H8" s="235"/>
      <c r="I8" s="235"/>
      <c r="J8" s="4"/>
      <c r="K8" s="4"/>
      <c r="L8" s="4"/>
    </row>
    <row r="9" spans="1:12" ht="18.75" x14ac:dyDescent="0.3">
      <c r="A9" s="140" t="s">
        <v>134</v>
      </c>
      <c r="B9" s="236">
        <f>SUM(B3:B8)</f>
        <v>0</v>
      </c>
      <c r="C9" s="236">
        <f t="shared" ref="C9:I9" si="0">SUM(C3:C8)</f>
        <v>0</v>
      </c>
      <c r="D9" s="236">
        <f t="shared" si="0"/>
        <v>0</v>
      </c>
      <c r="E9" s="236">
        <f t="shared" si="0"/>
        <v>0</v>
      </c>
      <c r="F9" s="236">
        <f t="shared" si="0"/>
        <v>0</v>
      </c>
      <c r="G9" s="236">
        <f t="shared" si="0"/>
        <v>0</v>
      </c>
      <c r="H9" s="236">
        <f t="shared" si="0"/>
        <v>0</v>
      </c>
      <c r="I9" s="236">
        <f t="shared" si="0"/>
        <v>0</v>
      </c>
      <c r="J9" s="4"/>
      <c r="K9" s="4"/>
      <c r="L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8.75" x14ac:dyDescent="0.3">
      <c r="A13" s="138" t="s">
        <v>156</v>
      </c>
      <c r="B13" s="139" t="s">
        <v>170</v>
      </c>
      <c r="C13" s="139" t="s">
        <v>171</v>
      </c>
      <c r="D13" s="139" t="s">
        <v>27</v>
      </c>
      <c r="E13" s="139" t="s">
        <v>31</v>
      </c>
      <c r="F13" s="139" t="s">
        <v>29</v>
      </c>
      <c r="G13" s="139" t="s">
        <v>33</v>
      </c>
      <c r="H13" s="139" t="s">
        <v>172</v>
      </c>
      <c r="I13" s="139" t="s">
        <v>173</v>
      </c>
      <c r="J13" s="4"/>
      <c r="K13" s="4"/>
      <c r="L13" s="4"/>
    </row>
    <row r="14" spans="1:12" ht="18.75" x14ac:dyDescent="0.3">
      <c r="A14" s="139" t="s">
        <v>164</v>
      </c>
      <c r="B14" s="235"/>
      <c r="C14" s="235"/>
      <c r="D14" s="235"/>
      <c r="E14" s="235"/>
      <c r="F14" s="235"/>
      <c r="G14" s="235"/>
      <c r="H14" s="235"/>
      <c r="I14" s="235"/>
      <c r="J14" s="4"/>
      <c r="K14" s="4"/>
      <c r="L14" s="4"/>
    </row>
    <row r="15" spans="1:12" ht="18.75" x14ac:dyDescent="0.3">
      <c r="A15" s="139" t="s">
        <v>165</v>
      </c>
      <c r="B15" s="235"/>
      <c r="C15" s="235"/>
      <c r="D15" s="235"/>
      <c r="E15" s="235"/>
      <c r="F15" s="235"/>
      <c r="G15" s="235"/>
      <c r="H15" s="235"/>
      <c r="I15" s="235"/>
      <c r="J15" s="4"/>
      <c r="K15" s="4"/>
      <c r="L15" s="4"/>
    </row>
    <row r="16" spans="1:12" ht="18.75" x14ac:dyDescent="0.3">
      <c r="A16" s="139" t="s">
        <v>166</v>
      </c>
      <c r="B16" s="235"/>
      <c r="C16" s="235"/>
      <c r="D16" s="235"/>
      <c r="E16" s="235"/>
      <c r="F16" s="235"/>
      <c r="G16" s="235"/>
      <c r="H16" s="235"/>
      <c r="I16" s="235"/>
      <c r="J16" s="4"/>
      <c r="K16" s="4"/>
      <c r="L16" s="4"/>
    </row>
    <row r="17" spans="1:12" ht="18.75" x14ac:dyDescent="0.3">
      <c r="A17" s="139" t="s">
        <v>167</v>
      </c>
      <c r="B17" s="235"/>
      <c r="C17" s="235"/>
      <c r="D17" s="235"/>
      <c r="E17" s="235"/>
      <c r="F17" s="235"/>
      <c r="G17" s="235"/>
      <c r="H17" s="235"/>
      <c r="I17" s="235"/>
      <c r="J17" s="4"/>
      <c r="K17" s="4"/>
      <c r="L17" s="4"/>
    </row>
    <row r="18" spans="1:12" ht="18.75" x14ac:dyDescent="0.3">
      <c r="A18" s="139" t="s">
        <v>174</v>
      </c>
      <c r="B18" s="235"/>
      <c r="C18" s="235"/>
      <c r="D18" s="235"/>
      <c r="E18" s="235"/>
      <c r="F18" s="235"/>
      <c r="G18" s="235"/>
      <c r="H18" s="235"/>
      <c r="I18" s="235"/>
      <c r="J18" s="4"/>
      <c r="K18" s="4"/>
      <c r="L18" s="4"/>
    </row>
    <row r="19" spans="1:12" ht="18.75" x14ac:dyDescent="0.3">
      <c r="A19" s="139" t="s">
        <v>175</v>
      </c>
      <c r="B19" s="235"/>
      <c r="C19" s="235"/>
      <c r="D19" s="235"/>
      <c r="E19" s="235"/>
      <c r="F19" s="235"/>
      <c r="G19" s="235"/>
      <c r="H19" s="235"/>
      <c r="I19" s="235"/>
      <c r="J19" s="4"/>
      <c r="K19" s="4"/>
      <c r="L19" s="4"/>
    </row>
    <row r="20" spans="1:12" ht="18.75" x14ac:dyDescent="0.3">
      <c r="A20" s="140" t="s">
        <v>176</v>
      </c>
      <c r="B20" s="236">
        <f>SUM(B14:B19)</f>
        <v>0</v>
      </c>
      <c r="C20" s="236">
        <f t="shared" ref="C20:I20" si="1">SUM(C14:C19)</f>
        <v>0</v>
      </c>
      <c r="D20" s="236">
        <f t="shared" si="1"/>
        <v>0</v>
      </c>
      <c r="E20" s="236">
        <f t="shared" si="1"/>
        <v>0</v>
      </c>
      <c r="F20" s="236">
        <f t="shared" si="1"/>
        <v>0</v>
      </c>
      <c r="G20" s="236">
        <f t="shared" si="1"/>
        <v>0</v>
      </c>
      <c r="H20" s="236">
        <f t="shared" si="1"/>
        <v>0</v>
      </c>
      <c r="I20" s="236">
        <f t="shared" si="1"/>
        <v>0</v>
      </c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141" t="s">
        <v>177</v>
      </c>
      <c r="B23" s="141" t="s">
        <v>178</v>
      </c>
      <c r="C23" s="141" t="s">
        <v>179</v>
      </c>
      <c r="D23" s="141" t="s">
        <v>27</v>
      </c>
      <c r="E23" s="141" t="s">
        <v>180</v>
      </c>
      <c r="F23" s="141" t="s">
        <v>29</v>
      </c>
      <c r="G23" s="141" t="s">
        <v>170</v>
      </c>
      <c r="H23" s="141" t="s">
        <v>28</v>
      </c>
      <c r="I23" s="141" t="s">
        <v>181</v>
      </c>
      <c r="J23" s="141" t="s">
        <v>182</v>
      </c>
      <c r="K23" s="141" t="s">
        <v>183</v>
      </c>
      <c r="L23" s="142"/>
    </row>
    <row r="24" spans="1:12" x14ac:dyDescent="0.25">
      <c r="A24" s="84" t="s">
        <v>77</v>
      </c>
      <c r="B24" s="85"/>
      <c r="C24" s="84"/>
      <c r="D24" s="85"/>
      <c r="E24" s="85"/>
      <c r="F24" s="85"/>
      <c r="G24" s="84"/>
      <c r="H24" s="85"/>
      <c r="I24" s="84"/>
      <c r="J24" s="84"/>
      <c r="K24" s="84"/>
      <c r="L24" s="4"/>
    </row>
    <row r="25" spans="1:12" x14ac:dyDescent="0.25">
      <c r="A25" s="84" t="s">
        <v>78</v>
      </c>
      <c r="B25" s="85"/>
      <c r="C25" s="84"/>
      <c r="D25" s="84"/>
      <c r="E25" s="84"/>
      <c r="F25" s="84"/>
      <c r="G25" s="84"/>
      <c r="H25" s="84"/>
      <c r="I25" s="84"/>
      <c r="J25" s="84"/>
      <c r="K25" s="84"/>
      <c r="L25" s="4"/>
    </row>
    <row r="26" spans="1:12" x14ac:dyDescent="0.25">
      <c r="A26" s="84" t="s">
        <v>79</v>
      </c>
      <c r="B26" s="85"/>
      <c r="C26" s="84"/>
      <c r="D26" s="84"/>
      <c r="E26" s="84"/>
      <c r="F26" s="84"/>
      <c r="G26" s="84"/>
      <c r="H26" s="84"/>
      <c r="I26" s="84"/>
      <c r="J26" s="84"/>
      <c r="K26" s="84"/>
      <c r="L26" s="4"/>
    </row>
    <row r="27" spans="1:12" x14ac:dyDescent="0.25">
      <c r="A27" s="84" t="s">
        <v>80</v>
      </c>
      <c r="B27" s="85"/>
      <c r="C27" s="84"/>
      <c r="D27" s="84"/>
      <c r="E27" s="84"/>
      <c r="F27" s="84"/>
      <c r="G27" s="84"/>
      <c r="H27" s="84"/>
      <c r="I27" s="84"/>
      <c r="J27" s="84"/>
      <c r="K27" s="84"/>
      <c r="L27" s="4"/>
    </row>
    <row r="28" spans="1:12" x14ac:dyDescent="0.25">
      <c r="A28" s="84" t="s">
        <v>81</v>
      </c>
      <c r="B28" s="85"/>
      <c r="C28" s="84"/>
      <c r="D28" s="84"/>
      <c r="E28" s="84"/>
      <c r="F28" s="84"/>
      <c r="G28" s="84"/>
      <c r="H28" s="84"/>
      <c r="I28" s="84"/>
      <c r="J28" s="84"/>
      <c r="K28" s="84"/>
      <c r="L28" s="4"/>
    </row>
    <row r="29" spans="1:12" x14ac:dyDescent="0.25">
      <c r="A29" s="84" t="s">
        <v>82</v>
      </c>
      <c r="B29" s="85"/>
      <c r="C29" s="84"/>
      <c r="D29" s="84"/>
      <c r="E29" s="84"/>
      <c r="F29" s="84"/>
      <c r="G29" s="84"/>
      <c r="H29" s="84"/>
      <c r="I29" s="84"/>
      <c r="J29" s="84"/>
      <c r="K29" s="84"/>
      <c r="L29" s="4"/>
    </row>
    <row r="30" spans="1:12" x14ac:dyDescent="0.25">
      <c r="A30" s="84" t="s">
        <v>83</v>
      </c>
      <c r="B30" s="85"/>
      <c r="C30" s="84"/>
      <c r="D30" s="84"/>
      <c r="E30" s="84"/>
      <c r="F30" s="84"/>
      <c r="G30" s="84"/>
      <c r="H30" s="84"/>
      <c r="I30" s="84"/>
      <c r="J30" s="84"/>
      <c r="K30" s="84"/>
      <c r="L30" s="4"/>
    </row>
    <row r="31" spans="1:12" x14ac:dyDescent="0.25">
      <c r="A31" s="84" t="s">
        <v>84</v>
      </c>
      <c r="B31" s="85"/>
      <c r="C31" s="84"/>
      <c r="D31" s="84"/>
      <c r="E31" s="84"/>
      <c r="F31" s="84"/>
      <c r="G31" s="84"/>
      <c r="H31" s="84"/>
      <c r="I31" s="84"/>
      <c r="J31" s="84"/>
      <c r="K31" s="84"/>
      <c r="L31" s="4"/>
    </row>
    <row r="32" spans="1:12" x14ac:dyDescent="0.25">
      <c r="A32" s="84" t="s">
        <v>85</v>
      </c>
      <c r="B32" s="85"/>
      <c r="C32" s="85"/>
      <c r="D32" s="84"/>
      <c r="E32" s="84"/>
      <c r="F32" s="84"/>
      <c r="G32" s="84"/>
      <c r="H32" s="84"/>
      <c r="I32" s="84"/>
      <c r="J32" s="84"/>
      <c r="K32" s="84"/>
      <c r="L32" s="4"/>
    </row>
    <row r="33" spans="1:12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4"/>
    </row>
    <row r="34" spans="1:12" ht="15.75" x14ac:dyDescent="0.25">
      <c r="A34" s="89" t="s">
        <v>86</v>
      </c>
      <c r="B34" s="85"/>
      <c r="C34" s="84"/>
      <c r="D34" s="84"/>
      <c r="E34" s="84"/>
      <c r="F34" s="84"/>
      <c r="G34" s="84"/>
      <c r="H34" s="84"/>
      <c r="I34" s="84"/>
      <c r="J34" s="84"/>
      <c r="K34" s="84"/>
      <c r="L34" s="4"/>
    </row>
    <row r="35" spans="1:12" ht="15.75" x14ac:dyDescent="0.25">
      <c r="A35" s="89" t="s">
        <v>87</v>
      </c>
      <c r="B35" s="85"/>
      <c r="C35" s="84"/>
      <c r="D35" s="84"/>
      <c r="E35" s="84"/>
      <c r="F35" s="84"/>
      <c r="G35" s="84"/>
      <c r="H35" s="84"/>
      <c r="I35" s="84"/>
      <c r="J35" s="84"/>
      <c r="K35" s="84"/>
      <c r="L35" s="4"/>
    </row>
    <row r="36" spans="1:12" ht="15.75" x14ac:dyDescent="0.25">
      <c r="A36" s="89" t="s">
        <v>88</v>
      </c>
      <c r="B36" s="85"/>
      <c r="C36" s="84"/>
      <c r="D36" s="84"/>
      <c r="E36" s="84"/>
      <c r="F36" s="84"/>
      <c r="G36" s="84"/>
      <c r="H36" s="84"/>
      <c r="I36" s="84"/>
      <c r="J36" s="84"/>
      <c r="K36" s="84"/>
      <c r="L36" s="4"/>
    </row>
    <row r="37" spans="1:12" ht="15.75" x14ac:dyDescent="0.25">
      <c r="A37" s="89"/>
      <c r="B37" s="85"/>
      <c r="C37" s="84"/>
      <c r="D37" s="84"/>
      <c r="E37" s="84"/>
      <c r="F37" s="84"/>
      <c r="G37" s="84"/>
      <c r="H37" s="84"/>
      <c r="I37" s="84"/>
      <c r="J37" s="84"/>
      <c r="K37" s="84"/>
      <c r="L37" s="4"/>
    </row>
    <row r="38" spans="1:12" ht="15.75" x14ac:dyDescent="0.25">
      <c r="A38" s="89"/>
      <c r="B38" s="85"/>
      <c r="C38" s="84"/>
      <c r="D38" s="84"/>
      <c r="E38" s="84"/>
      <c r="F38" s="84"/>
      <c r="G38" s="84"/>
      <c r="H38" s="84"/>
      <c r="I38" s="84"/>
      <c r="J38" s="84"/>
      <c r="K38" s="84"/>
      <c r="L38" s="4"/>
    </row>
    <row r="39" spans="1:12" ht="15.75" x14ac:dyDescent="0.25">
      <c r="A39" s="89"/>
      <c r="B39" s="85"/>
      <c r="C39" s="84"/>
      <c r="D39" s="84"/>
      <c r="E39" s="84"/>
      <c r="F39" s="84"/>
      <c r="G39" s="84"/>
      <c r="H39" s="84"/>
      <c r="I39" s="84"/>
      <c r="J39" s="84"/>
      <c r="K39" s="84"/>
      <c r="L39" s="4"/>
    </row>
    <row r="40" spans="1:12" ht="15.75" x14ac:dyDescent="0.25">
      <c r="A40" s="89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4"/>
    </row>
    <row r="41" spans="1:12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4"/>
    </row>
    <row r="42" spans="1:12" x14ac:dyDescent="0.25">
      <c r="A42" s="143" t="s">
        <v>176</v>
      </c>
      <c r="B42" s="144">
        <f>SUM(B24:B41)</f>
        <v>0</v>
      </c>
      <c r="C42" s="144">
        <f t="shared" ref="C42:K42" si="2">SUM(C24:C41)</f>
        <v>0</v>
      </c>
      <c r="D42" s="144">
        <f t="shared" si="2"/>
        <v>0</v>
      </c>
      <c r="E42" s="144">
        <f t="shared" si="2"/>
        <v>0</v>
      </c>
      <c r="F42" s="144">
        <f t="shared" si="2"/>
        <v>0</v>
      </c>
      <c r="G42" s="144">
        <f t="shared" si="2"/>
        <v>0</v>
      </c>
      <c r="H42" s="144">
        <f t="shared" si="2"/>
        <v>0</v>
      </c>
      <c r="I42" s="144">
        <f t="shared" si="2"/>
        <v>0</v>
      </c>
      <c r="J42" s="144">
        <f t="shared" si="2"/>
        <v>0</v>
      </c>
      <c r="K42" s="144">
        <f t="shared" si="2"/>
        <v>0</v>
      </c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INF. DISTRITAL</vt:lpstr>
      <vt:lpstr>IGLESIA</vt:lpstr>
      <vt:lpstr>DEPOSITOS</vt:lpstr>
      <vt:lpstr>DESGLOSE SALDOS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PC-16934</dc:creator>
  <cp:lastModifiedBy>Camila Lopes</cp:lastModifiedBy>
  <cp:lastPrinted>2023-06-18T02:34:10Z</cp:lastPrinted>
  <dcterms:created xsi:type="dcterms:W3CDTF">2023-02-26T00:47:04Z</dcterms:created>
  <dcterms:modified xsi:type="dcterms:W3CDTF">2025-10-18T22:35:37Z</dcterms:modified>
</cp:coreProperties>
</file>